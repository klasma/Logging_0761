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46219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46219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46219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46219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46219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46219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46219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46219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46219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Y11">
        <f>HYPERLINK("https://klasma.github.io/Logging_0761/klagomål/A 52540-2025 FSC-klagomål.docx", "A 52540-2025")</f>
        <v/>
      </c>
      <c r="Z11">
        <f>HYPERLINK("https://klasma.github.io/Logging_0761/klagomålsmail/A 52540-2025 FSC-klagomål mail.docx", "A 52540-2025")</f>
        <v/>
      </c>
      <c r="AA11">
        <f>HYPERLINK("https://klasma.github.io/Logging_0761/tillsyn/A 52540-2025 tillsynsbegäran.docx", "A 52540-2025")</f>
        <v/>
      </c>
      <c r="AB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46219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HYPERLINK("https://klasma.github.io/Logging_0761/artfynd/A 52539-2025 artfynd.xlsx", "A 52539-2025")</f>
        <v/>
      </c>
      <c r="W12">
        <f>HYPERLINK("https://klasma.github.io/Logging_0761/kartor/A 52539-2025 karta.png", "A 52539-2025")</f>
        <v/>
      </c>
      <c r="Y12">
        <f>HYPERLINK("https://klasma.github.io/Logging_0761/klagomål/A 52539-2025 FSC-klagomål.docx", "A 52539-2025")</f>
        <v/>
      </c>
      <c r="Z12">
        <f>HYPERLINK("https://klasma.github.io/Logging_0761/klagomålsmail/A 52539-2025 FSC-klagomål mail.docx", "A 52539-2025")</f>
        <v/>
      </c>
      <c r="AA12">
        <f>HYPERLINK("https://klasma.github.io/Logging_0761/tillsyn/A 52539-2025 tillsynsbegäran.docx", "A 52539-2025")</f>
        <v/>
      </c>
      <c r="AB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46219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Korallrot</t>
        </is>
      </c>
      <c r="V13">
        <f>HYPERLINK("https://klasma.github.io/Logging_0761/artfynd/A 1488-2025 artfynd.xlsx", "A 1488-2025")</f>
        <v/>
      </c>
      <c r="W13">
        <f>HYPERLINK("https://klasma.github.io/Logging_0761/kartor/A 1488-2025 karta.png", "A 1488-2025")</f>
        <v/>
      </c>
      <c r="Y13">
        <f>HYPERLINK("https://klasma.github.io/Logging_0761/klagomål/A 1488-2025 FSC-klagomål.docx", "A 1488-2025")</f>
        <v/>
      </c>
      <c r="Z13">
        <f>HYPERLINK("https://klasma.github.io/Logging_0761/klagomålsmail/A 1488-2025 FSC-klagomål mail.docx", "A 1488-2025")</f>
        <v/>
      </c>
      <c r="AA13">
        <f>HYPERLINK("https://klasma.github.io/Logging_0761/tillsyn/A 1488-2025 tillsynsbegäran.docx", "A 1488-2025")</f>
        <v/>
      </c>
      <c r="AB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46219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HYPERLINK("https://klasma.github.io/Logging_0761/artfynd/A 56472-2024 artfynd.xlsx", "A 56472-2024")</f>
        <v/>
      </c>
      <c r="W14">
        <f>HYPERLINK("https://klasma.github.io/Logging_0761/kartor/A 56472-2024 karta.png", "A 56472-2024")</f>
        <v/>
      </c>
      <c r="Y14">
        <f>HYPERLINK("https://klasma.github.io/Logging_0761/klagomål/A 56472-2024 FSC-klagomål.docx", "A 56472-2024")</f>
        <v/>
      </c>
      <c r="Z14">
        <f>HYPERLINK("https://klasma.github.io/Logging_0761/klagomålsmail/A 56472-2024 FSC-klagomål mail.docx", "A 56472-2024")</f>
        <v/>
      </c>
      <c r="AA14">
        <f>HYPERLINK("https://klasma.github.io/Logging_0761/tillsyn/A 56472-2024 tillsynsbegäran.docx", "A 56472-2024")</f>
        <v/>
      </c>
      <c r="AB14">
        <f>HYPERLINK("https://klasma.github.io/Logging_0761/tillsynsmail/A 56472-2024 tillsynsbegäran mail.docx", "A 56472-2024")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46219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HYPERLINK("https://klasma.github.io/Logging_0761/artfynd/A 37936-2021 artfynd.xlsx", "A 37936-2021")</f>
        <v/>
      </c>
      <c r="W15">
        <f>HYPERLINK("https://klasma.github.io/Logging_0761/kartor/A 37936-2021 karta.png", "A 37936-2021")</f>
        <v/>
      </c>
      <c r="X15">
        <f>HYPERLINK("https://klasma.github.io/Logging_0761/knärot/A 37936-2021 karta knärot.png", "A 37936-2021")</f>
        <v/>
      </c>
      <c r="Y15">
        <f>HYPERLINK("https://klasma.github.io/Logging_0761/klagomål/A 37936-2021 FSC-klagomål.docx", "A 37936-2021")</f>
        <v/>
      </c>
      <c r="Z15">
        <f>HYPERLINK("https://klasma.github.io/Logging_0761/klagomålsmail/A 37936-2021 FSC-klagomål mail.docx", "A 37936-2021")</f>
        <v/>
      </c>
      <c r="AA15">
        <f>HYPERLINK("https://klasma.github.io/Logging_0761/tillsyn/A 37936-2021 tillsynsbegäran.docx", "A 37936-2021")</f>
        <v/>
      </c>
      <c r="AB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46219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46219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46219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46219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46219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46219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46219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46219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46219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46219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46219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46219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46219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46219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46219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46219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46219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46219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46219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46219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46219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46219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43255-2021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44432</v>
      </c>
      <c r="E38" s="1" t="n">
        <v>46219</v>
      </c>
      <c r="F38" t="inlineStr">
        <is>
          <t>KRONOBERGS LÄN</t>
        </is>
      </c>
      <c r="G38" t="inlineStr">
        <is>
          <t>LESSEBO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47396-2024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46219</v>
      </c>
      <c r="F39" t="inlineStr">
        <is>
          <t>KRONOBERGS LÄN</t>
        </is>
      </c>
      <c r="G39" t="inlineStr">
        <is>
          <t>LESSEBO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19495-2022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46219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7957-2023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46219</v>
      </c>
      <c r="F41" t="inlineStr">
        <is>
          <t>KRONOBERGS LÄN</t>
        </is>
      </c>
      <c r="G41" t="inlineStr">
        <is>
          <t>LESSEBO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46219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15180-2023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46219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46219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47386-2024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46219</v>
      </c>
      <c r="F45" t="inlineStr">
        <is>
          <t>KRONOBERGS LÄN</t>
        </is>
      </c>
      <c r="G45" t="inlineStr">
        <is>
          <t>LESSEBO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46219</v>
      </c>
      <c r="F46" t="inlineStr">
        <is>
          <t>KRONOBERGS LÄN</t>
        </is>
      </c>
      <c r="G46" t="inlineStr">
        <is>
          <t>LESSEBO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63330-2021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46219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37399-2024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45540</v>
      </c>
      <c r="E48" s="1" t="n">
        <v>46219</v>
      </c>
      <c r="F48" t="inlineStr">
        <is>
          <t>KRONOBERGS LÄN</t>
        </is>
      </c>
      <c r="G48" t="inlineStr">
        <is>
          <t>LESSEBO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66902-2021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46219</v>
      </c>
      <c r="F49" t="inlineStr">
        <is>
          <t>KRONOBERGS LÄN</t>
        </is>
      </c>
      <c r="G49" t="inlineStr">
        <is>
          <t>LESSEBO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51175-2023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46219</v>
      </c>
      <c r="F50" t="inlineStr">
        <is>
          <t>KRONOBERGS LÄN</t>
        </is>
      </c>
      <c r="G50" t="inlineStr">
        <is>
          <t>LESSEBO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46219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46219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8174-2025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45708</v>
      </c>
      <c r="E53" s="1" t="n">
        <v>46219</v>
      </c>
      <c r="F53" t="inlineStr">
        <is>
          <t>KRONOBERGS LÄN</t>
        </is>
      </c>
      <c r="G53" t="inlineStr">
        <is>
          <t>LESSEBO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27080-2022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46219</v>
      </c>
      <c r="F54" t="inlineStr">
        <is>
          <t>KRONOBERGS LÄN</t>
        </is>
      </c>
      <c r="G54" t="inlineStr">
        <is>
          <t>LESSEBO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859-2025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45665</v>
      </c>
      <c r="E55" s="1" t="n">
        <v>46219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11843-2024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46219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45223</v>
      </c>
      <c r="E57" s="1" t="n">
        <v>46219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46219</v>
      </c>
      <c r="F58" t="inlineStr">
        <is>
          <t>KRONOBERGS LÄN</t>
        </is>
      </c>
      <c r="G58" t="inlineStr">
        <is>
          <t>LESSEBO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45775</v>
      </c>
      <c r="E59" s="1" t="n">
        <v>46219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51189-2023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46219</v>
      </c>
      <c r="F60" t="inlineStr">
        <is>
          <t>KRONOBERGS LÄN</t>
        </is>
      </c>
      <c r="G60" t="inlineStr">
        <is>
          <t>LESSEBO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29767-2023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46219</v>
      </c>
      <c r="F61" t="inlineStr">
        <is>
          <t>KRONOBERGS LÄN</t>
        </is>
      </c>
      <c r="G61" t="inlineStr">
        <is>
          <t>LESSEBO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19501-2022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46219</v>
      </c>
      <c r="F62" t="inlineStr">
        <is>
          <t>KRONOBERGS LÄN</t>
        </is>
      </c>
      <c r="G62" t="inlineStr">
        <is>
          <t>LESSEBO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51191-2023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46219</v>
      </c>
      <c r="F63" t="inlineStr">
        <is>
          <t>KRONOBERGS LÄN</t>
        </is>
      </c>
      <c r="G63" t="inlineStr">
        <is>
          <t>LESSEBO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45253</v>
      </c>
      <c r="E64" s="1" t="n">
        <v>46219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52525-2023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45225</v>
      </c>
      <c r="E65" s="1" t="n">
        <v>46219</v>
      </c>
      <c r="F65" t="inlineStr">
        <is>
          <t>KRONOBERGS LÄN</t>
        </is>
      </c>
      <c r="G65" t="inlineStr">
        <is>
          <t>LESSEBO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17517-2023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45036</v>
      </c>
      <c r="E66" s="1" t="n">
        <v>46219</v>
      </c>
      <c r="F66" t="inlineStr">
        <is>
          <t>KRONOBERGS LÄN</t>
        </is>
      </c>
      <c r="G66" t="inlineStr">
        <is>
          <t>LESSEBO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44936</v>
      </c>
      <c r="E67" s="1" t="n">
        <v>46219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24171-2024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46219</v>
      </c>
      <c r="F68" t="inlineStr">
        <is>
          <t>KRONOBERGS LÄN</t>
        </is>
      </c>
      <c r="G68" t="inlineStr">
        <is>
          <t>LESSEBO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24478-2024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45459</v>
      </c>
      <c r="E69" s="1" t="n">
        <v>46219</v>
      </c>
      <c r="F69" t="inlineStr">
        <is>
          <t>KRONOBERGS LÄN</t>
        </is>
      </c>
      <c r="G69" t="inlineStr">
        <is>
          <t>LESSEBO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46219</v>
      </c>
      <c r="F70" t="inlineStr">
        <is>
          <t>KRONOBERGS LÄN</t>
        </is>
      </c>
      <c r="G70" t="inlineStr">
        <is>
          <t>LESSEBO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30966-2023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46219</v>
      </c>
      <c r="F71" t="inlineStr">
        <is>
          <t>KRONOBERGS LÄN</t>
        </is>
      </c>
      <c r="G71" t="inlineStr">
        <is>
          <t>LESSEBO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68507-2021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46219</v>
      </c>
      <c r="F72" t="inlineStr">
        <is>
          <t>KRONOBERGS LÄN</t>
        </is>
      </c>
      <c r="G72" t="inlineStr">
        <is>
          <t>LESSEBO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46219</v>
      </c>
      <c r="F73" t="inlineStr">
        <is>
          <t>KRONOBERGS LÄN</t>
        </is>
      </c>
      <c r="G73" t="inlineStr">
        <is>
          <t>LESSEBO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46219</v>
      </c>
      <c r="F74" t="inlineStr">
        <is>
          <t>KRONOBERGS LÄN</t>
        </is>
      </c>
      <c r="G74" t="inlineStr">
        <is>
          <t>LESSEBO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57519-2022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44896</v>
      </c>
      <c r="E75" s="1" t="n">
        <v>46219</v>
      </c>
      <c r="F75" t="inlineStr">
        <is>
          <t>KRONOBERGS LÄN</t>
        </is>
      </c>
      <c r="G75" t="inlineStr">
        <is>
          <t>LESSEBO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20541-2024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46219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39750-2025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46219</v>
      </c>
      <c r="F77" t="inlineStr">
        <is>
          <t>KRONOBERGS LÄN</t>
        </is>
      </c>
      <c r="G77" t="inlineStr">
        <is>
          <t>LESSEBO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39884-2025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45891</v>
      </c>
      <c r="E78" s="1" t="n">
        <v>46219</v>
      </c>
      <c r="F78" t="inlineStr">
        <is>
          <t>KRONOBERGS LÄN</t>
        </is>
      </c>
      <c r="G78" t="inlineStr">
        <is>
          <t>LESSEBO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37933-2021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44403</v>
      </c>
      <c r="E79" s="1" t="n">
        <v>46219</v>
      </c>
      <c r="F79" t="inlineStr">
        <is>
          <t>KRONOBERGS LÄN</t>
        </is>
      </c>
      <c r="G79" t="inlineStr">
        <is>
          <t>LESSEBO</t>
        </is>
      </c>
      <c r="I79" t="n">
        <v>10.9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46219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18968-2024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46219</v>
      </c>
      <c r="F81" t="inlineStr">
        <is>
          <t>KRONOBERGS LÄN</t>
        </is>
      </c>
      <c r="G81" t="inlineStr">
        <is>
          <t>LESSEBO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63927-2021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44509</v>
      </c>
      <c r="E82" s="1" t="n">
        <v>46219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43809-2025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46219</v>
      </c>
      <c r="F83" t="inlineStr">
        <is>
          <t>KRONOBERGS LÄN</t>
        </is>
      </c>
      <c r="G83" t="inlineStr">
        <is>
          <t>LESSEBO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38712-2022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44814</v>
      </c>
      <c r="E84" s="1" t="n">
        <v>46219</v>
      </c>
      <c r="F84" t="inlineStr">
        <is>
          <t>KRONOBERGS LÄN</t>
        </is>
      </c>
      <c r="G84" t="inlineStr">
        <is>
          <t>LESSEBO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20441-2025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46219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46219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45710</v>
      </c>
      <c r="E87" s="1" t="n">
        <v>46219</v>
      </c>
      <c r="F87" t="inlineStr">
        <is>
          <t>KRONOBERGS LÄN</t>
        </is>
      </c>
      <c r="G87" t="inlineStr">
        <is>
          <t>LESSEBO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46219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56529-2022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46219</v>
      </c>
      <c r="F89" t="inlineStr">
        <is>
          <t>KRONOBERGS LÄN</t>
        </is>
      </c>
      <c r="G89" t="inlineStr">
        <is>
          <t>LESSEBO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41900-2022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46219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22432-2023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45070</v>
      </c>
      <c r="E91" s="1" t="n">
        <v>46219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38227-2023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45161</v>
      </c>
      <c r="E92" s="1" t="n">
        <v>46219</v>
      </c>
      <c r="F92" t="inlineStr">
        <is>
          <t>KRONOBERGS LÄN</t>
        </is>
      </c>
      <c r="G92" t="inlineStr">
        <is>
          <t>LESSEBO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43206-2024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46219</v>
      </c>
      <c r="F93" t="inlineStr">
        <is>
          <t>KRONOBERGS LÄN</t>
        </is>
      </c>
      <c r="G93" t="inlineStr">
        <is>
          <t>LESSEBO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17552-2023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45036</v>
      </c>
      <c r="E94" s="1" t="n">
        <v>46219</v>
      </c>
      <c r="F94" t="inlineStr">
        <is>
          <t>KRONOBERGS LÄN</t>
        </is>
      </c>
      <c r="G94" t="inlineStr">
        <is>
          <t>LESSEBO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46219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13751-2025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46219</v>
      </c>
      <c r="F96" t="inlineStr">
        <is>
          <t>KRONOBERGS LÄN</t>
        </is>
      </c>
      <c r="G96" t="inlineStr">
        <is>
          <t>LESSEBO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48429-2025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46219</v>
      </c>
      <c r="F97" t="inlineStr">
        <is>
          <t>KRONOBERGS LÄN</t>
        </is>
      </c>
      <c r="G97" t="inlineStr">
        <is>
          <t>LESSEBO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46219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15203-2023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45017</v>
      </c>
      <c r="E99" s="1" t="n">
        <v>46219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15204-2023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45017</v>
      </c>
      <c r="E100" s="1" t="n">
        <v>46219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33240-2024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45518</v>
      </c>
      <c r="E101" s="1" t="n">
        <v>46219</v>
      </c>
      <c r="F101" t="inlineStr">
        <is>
          <t>KRONOBERGS LÄN</t>
        </is>
      </c>
      <c r="G101" t="inlineStr">
        <is>
          <t>LESSEBO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17729-2025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46219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30405-2023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46219</v>
      </c>
      <c r="F103" t="inlineStr">
        <is>
          <t>KRONOBERGS LÄN</t>
        </is>
      </c>
      <c r="G103" t="inlineStr">
        <is>
          <t>LESSEBO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39389-2024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45551</v>
      </c>
      <c r="E104" s="1" t="n">
        <v>46219</v>
      </c>
      <c r="F104" t="inlineStr">
        <is>
          <t>KRONOBERGS LÄN</t>
        </is>
      </c>
      <c r="G104" t="inlineStr">
        <is>
          <t>LESSEBO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20443-2025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46219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60358-2022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44910</v>
      </c>
      <c r="E106" s="1" t="n">
        <v>46219</v>
      </c>
      <c r="F106" t="inlineStr">
        <is>
          <t>KRONOBERGS LÄN</t>
        </is>
      </c>
      <c r="G106" t="inlineStr">
        <is>
          <t>LESSEBO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49298-2025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46219</v>
      </c>
      <c r="F107" t="inlineStr">
        <is>
          <t>KRONOBERGS LÄN</t>
        </is>
      </c>
      <c r="G107" t="inlineStr">
        <is>
          <t>LESSEBO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50892-2022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46219</v>
      </c>
      <c r="F108" t="inlineStr">
        <is>
          <t>KRONOBERGS LÄN</t>
        </is>
      </c>
      <c r="G108" t="inlineStr">
        <is>
          <t>LESSEBO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61575-2022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44916</v>
      </c>
      <c r="E109" s="1" t="n">
        <v>46219</v>
      </c>
      <c r="F109" t="inlineStr">
        <is>
          <t>KRONOBERGS LÄN</t>
        </is>
      </c>
      <c r="G109" t="inlineStr">
        <is>
          <t>LESSEBO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61588-2022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46219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45838-2022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44846</v>
      </c>
      <c r="E111" s="1" t="n">
        <v>46219</v>
      </c>
      <c r="F111" t="inlineStr">
        <is>
          <t>KRONOBERGS LÄN</t>
        </is>
      </c>
      <c r="G111" t="inlineStr">
        <is>
          <t>LESSEBO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43453-2024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46219</v>
      </c>
      <c r="F112" t="inlineStr">
        <is>
          <t>KRONOBERGS LÄN</t>
        </is>
      </c>
      <c r="G112" t="inlineStr">
        <is>
          <t>LESSEBO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20824-2023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45058</v>
      </c>
      <c r="E113" s="1" t="n">
        <v>46219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46219</v>
      </c>
      <c r="F114" t="inlineStr">
        <is>
          <t>KRONOBERGS LÄN</t>
        </is>
      </c>
      <c r="G114" t="inlineStr">
        <is>
          <t>LESSEBO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45493</v>
      </c>
      <c r="E115" s="1" t="n">
        <v>46219</v>
      </c>
      <c r="F115" t="inlineStr">
        <is>
          <t>KRONOBERGS LÄN</t>
        </is>
      </c>
      <c r="G115" t="inlineStr">
        <is>
          <t>LESSEBO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52537-2025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46219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46219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52532-2025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46219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52546-2025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45954</v>
      </c>
      <c r="E119" s="1" t="n">
        <v>46219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52534-2025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46219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15864-2022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46219</v>
      </c>
      <c r="F121" t="inlineStr">
        <is>
          <t>KRONOBERGS LÄN</t>
        </is>
      </c>
      <c r="G121" t="inlineStr">
        <is>
          <t>LESSEBO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46219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642-2024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45299</v>
      </c>
      <c r="E123" s="1" t="n">
        <v>46219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46219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46219</v>
      </c>
      <c r="F125" t="inlineStr">
        <is>
          <t>KRONOBERGS LÄN</t>
        </is>
      </c>
      <c r="G125" t="inlineStr">
        <is>
          <t>LESSEBO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49295-2025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46219</v>
      </c>
      <c r="F126" t="inlineStr">
        <is>
          <t>KRONOBERGS LÄN</t>
        </is>
      </c>
      <c r="G126" t="inlineStr">
        <is>
          <t>LESSEBO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47402-2024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46219</v>
      </c>
      <c r="F127" t="inlineStr">
        <is>
          <t>KRONOBERGS LÄN</t>
        </is>
      </c>
      <c r="G127" t="inlineStr">
        <is>
          <t>LESSEBO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30822-2026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46219</v>
      </c>
      <c r="F128" t="inlineStr">
        <is>
          <t>KRONOBERGS LÄN</t>
        </is>
      </c>
      <c r="G128" t="inlineStr">
        <is>
          <t>LESSEBO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30826-2026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46219</v>
      </c>
      <c r="F129" t="inlineStr">
        <is>
          <t>KRONOBERGS LÄN</t>
        </is>
      </c>
      <c r="G129" t="inlineStr">
        <is>
          <t>LESSEBO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24275-2026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46219</v>
      </c>
      <c r="F130" t="inlineStr">
        <is>
          <t>KRONOBERGS LÄN</t>
        </is>
      </c>
      <c r="G130" t="inlineStr">
        <is>
          <t>LESSEBO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24271-2026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46219</v>
      </c>
      <c r="F131" t="inlineStr">
        <is>
          <t>KRONOBERGS LÄN</t>
        </is>
      </c>
      <c r="G131" t="inlineStr">
        <is>
          <t>LESSEBO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24272-2026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46219</v>
      </c>
      <c r="F132" t="inlineStr">
        <is>
          <t>KRONOBERGS LÄN</t>
        </is>
      </c>
      <c r="G132" t="inlineStr">
        <is>
          <t>LESSEBO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24269-2026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46219</v>
      </c>
      <c r="F133" t="inlineStr">
        <is>
          <t>KRONOBERGS LÄN</t>
        </is>
      </c>
      <c r="G133" t="inlineStr">
        <is>
          <t>LESSEBO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46219</v>
      </c>
      <c r="F134" t="inlineStr">
        <is>
          <t>KRONOBERGS LÄN</t>
        </is>
      </c>
      <c r="G134" t="inlineStr">
        <is>
          <t>LESSEBO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46219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46219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46219</v>
      </c>
      <c r="F137" t="inlineStr">
        <is>
          <t>KRONOBERGS LÄN</t>
        </is>
      </c>
      <c r="G137" t="inlineStr">
        <is>
          <t>LESSEBO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8690-2023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44978</v>
      </c>
      <c r="E138" s="1" t="n">
        <v>46219</v>
      </c>
      <c r="F138" t="inlineStr">
        <is>
          <t>KRONOBERGS LÄN</t>
        </is>
      </c>
      <c r="G138" t="inlineStr">
        <is>
          <t>LESSEBO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46219</v>
      </c>
      <c r="F139" t="inlineStr">
        <is>
          <t>KRONOBERGS LÄN</t>
        </is>
      </c>
      <c r="G139" t="inlineStr">
        <is>
          <t>LESSEBO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61995-2022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44918</v>
      </c>
      <c r="E140" s="1" t="n">
        <v>46219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17836-2023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46219</v>
      </c>
      <c r="F141" t="inlineStr">
        <is>
          <t>KRONOBERGS LÄN</t>
        </is>
      </c>
      <c r="G141" t="inlineStr">
        <is>
          <t>LESSEBO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25169-2026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46175</v>
      </c>
      <c r="E142" s="1" t="n">
        <v>46219</v>
      </c>
      <c r="F142" t="inlineStr">
        <is>
          <t>KRONOBERGS LÄN</t>
        </is>
      </c>
      <c r="G142" t="inlineStr">
        <is>
          <t>LESSEBO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65137-2023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45288</v>
      </c>
      <c r="E143" s="1" t="n">
        <v>46219</v>
      </c>
      <c r="F143" t="inlineStr">
        <is>
          <t>KRONOBERGS LÄN</t>
        </is>
      </c>
      <c r="G143" t="inlineStr">
        <is>
          <t>LESSEBO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46219</v>
      </c>
      <c r="F144" t="inlineStr">
        <is>
          <t>KRONOBERGS LÄN</t>
        </is>
      </c>
      <c r="G144" t="inlineStr">
        <is>
          <t>LESSEBO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31252-2026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46218</v>
      </c>
      <c r="E145" s="1" t="n">
        <v>46219</v>
      </c>
      <c r="F145" t="inlineStr">
        <is>
          <t>KRONOBERGS LÄN</t>
        </is>
      </c>
      <c r="G145" t="inlineStr">
        <is>
          <t>LESSEBO</t>
        </is>
      </c>
      <c r="H145" t="inlineStr">
        <is>
          <t>Kommuner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43114-2024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46219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44589</v>
      </c>
      <c r="E147" s="1" t="n">
        <v>46219</v>
      </c>
      <c r="F147" t="inlineStr">
        <is>
          <t>KRONOBERGS LÄN</t>
        </is>
      </c>
      <c r="G147" t="inlineStr">
        <is>
          <t>LESSEBO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46219</v>
      </c>
      <c r="F148" t="inlineStr">
        <is>
          <t>KRONOBERGS LÄN</t>
        </is>
      </c>
      <c r="G148" t="inlineStr">
        <is>
          <t>LESSEBO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46219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46219</v>
      </c>
      <c r="F150" t="inlineStr">
        <is>
          <t>KRONOBERGS LÄN</t>
        </is>
      </c>
      <c r="G150" t="inlineStr">
        <is>
          <t>LESSEBO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46219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33076-2023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45126</v>
      </c>
      <c r="E152" s="1" t="n">
        <v>46219</v>
      </c>
      <c r="F152" t="inlineStr">
        <is>
          <t>KRONOBERGS LÄN</t>
        </is>
      </c>
      <c r="G152" t="inlineStr">
        <is>
          <t>LESSEBO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49121-2024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46219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70350-2021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46219</v>
      </c>
      <c r="F154" t="inlineStr">
        <is>
          <t>KRONOBERGS LÄN</t>
        </is>
      </c>
      <c r="G154" t="inlineStr">
        <is>
          <t>LESSEBO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1490-2025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45670</v>
      </c>
      <c r="E155" s="1" t="n">
        <v>46219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56475-2024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46219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14551-2025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46219</v>
      </c>
      <c r="F157" t="inlineStr">
        <is>
          <t>KRONOBERGS LÄN</t>
        </is>
      </c>
      <c r="G157" t="inlineStr">
        <is>
          <t>LESSEBO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14549-2025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46219</v>
      </c>
      <c r="F158" t="inlineStr">
        <is>
          <t>KRONOBERGS LÄN</t>
        </is>
      </c>
      <c r="G158" t="inlineStr">
        <is>
          <t>LESSEBO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45474</v>
      </c>
      <c r="E159" s="1" t="n">
        <v>46219</v>
      </c>
      <c r="F159" t="inlineStr">
        <is>
          <t>KRONOBERGS LÄN</t>
        </is>
      </c>
      <c r="G159" t="inlineStr">
        <is>
          <t>LESSEBO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13036-2022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46219</v>
      </c>
      <c r="F160" t="inlineStr">
        <is>
          <t>KRONOBERGS LÄN</t>
        </is>
      </c>
      <c r="G160" t="inlineStr">
        <is>
          <t>LESSEBO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46219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46219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56456-2024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46219</v>
      </c>
      <c r="F163" t="inlineStr">
        <is>
          <t>KRONOBERGS LÄN</t>
        </is>
      </c>
      <c r="G163" t="inlineStr">
        <is>
          <t>LESSEBO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56459-2024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46219</v>
      </c>
      <c r="F164" t="inlineStr">
        <is>
          <t>KRONOBERGS LÄN</t>
        </is>
      </c>
      <c r="G164" t="inlineStr">
        <is>
          <t>LESSEBO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46219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51990-2024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46219</v>
      </c>
      <c r="F166" t="inlineStr">
        <is>
          <t>KRONOBERGS LÄN</t>
        </is>
      </c>
      <c r="G166" t="inlineStr">
        <is>
          <t>LESSEBO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45671</v>
      </c>
      <c r="E167" s="1" t="n">
        <v>46219</v>
      </c>
      <c r="F167" t="inlineStr">
        <is>
          <t>KRONOBERGS LÄN</t>
        </is>
      </c>
      <c r="G167" t="inlineStr">
        <is>
          <t>LESSEBO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41598-2024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45560</v>
      </c>
      <c r="E168" s="1" t="n">
        <v>46219</v>
      </c>
      <c r="F168" t="inlineStr">
        <is>
          <t>KRONOBERGS LÄN</t>
        </is>
      </c>
      <c r="G168" t="inlineStr">
        <is>
          <t>LESSEBO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46219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20825-2023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45058</v>
      </c>
      <c r="E170" s="1" t="n">
        <v>46219</v>
      </c>
      <c r="F170" t="inlineStr">
        <is>
          <t>KRONOBERGS LÄN</t>
        </is>
      </c>
      <c r="G170" t="inlineStr">
        <is>
          <t>LESSEBO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61439-2024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46219</v>
      </c>
      <c r="F171" t="inlineStr">
        <is>
          <t>KRONOBERGS LÄN</t>
        </is>
      </c>
      <c r="G171" t="inlineStr">
        <is>
          <t>LESSEBO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21951-2025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45784</v>
      </c>
      <c r="E172" s="1" t="n">
        <v>46219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46219</v>
      </c>
      <c r="F173" t="inlineStr">
        <is>
          <t>KRONOBERGS LÄN</t>
        </is>
      </c>
      <c r="G173" t="inlineStr">
        <is>
          <t>LESSEBO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37964-2024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45544</v>
      </c>
      <c r="E174" s="1" t="n">
        <v>46219</v>
      </c>
      <c r="F174" t="inlineStr">
        <is>
          <t>KRONOBERGS LÄN</t>
        </is>
      </c>
      <c r="G174" t="inlineStr">
        <is>
          <t>LESSEBO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46219</v>
      </c>
      <c r="F175" t="inlineStr">
        <is>
          <t>KRONOBERGS LÄN</t>
        </is>
      </c>
      <c r="G175" t="inlineStr">
        <is>
          <t>LESSEBO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48639-2023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46219</v>
      </c>
      <c r="F176" t="inlineStr">
        <is>
          <t>KRONOBERGS LÄN</t>
        </is>
      </c>
      <c r="G176" t="inlineStr">
        <is>
          <t>LESSEBO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50162-2023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45215</v>
      </c>
      <c r="E177" s="1" t="n">
        <v>46219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45688</v>
      </c>
      <c r="E178" s="1" t="n">
        <v>46219</v>
      </c>
      <c r="F178" t="inlineStr">
        <is>
          <t>KRONOBERGS LÄN</t>
        </is>
      </c>
      <c r="G178" t="inlineStr">
        <is>
          <t>LESSEBO</t>
        </is>
      </c>
      <c r="H178" t="inlineStr">
        <is>
          <t>Kommuner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2755-2025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45677</v>
      </c>
      <c r="E179" s="1" t="n">
        <v>46219</v>
      </c>
      <c r="F179" t="inlineStr">
        <is>
          <t>KRONOBERGS LÄN</t>
        </is>
      </c>
      <c r="G179" t="inlineStr">
        <is>
          <t>LESSEBO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46219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21745-2022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44708</v>
      </c>
      <c r="E181" s="1" t="n">
        <v>46219</v>
      </c>
      <c r="F181" t="inlineStr">
        <is>
          <t>KRONOBERGS LÄN</t>
        </is>
      </c>
      <c r="G181" t="inlineStr">
        <is>
          <t>LESSEBO</t>
        </is>
      </c>
      <c r="I181" t="n">
        <v>9.699999999999999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29566-2024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45484</v>
      </c>
      <c r="E182" s="1" t="n">
        <v>46219</v>
      </c>
      <c r="F182" t="inlineStr">
        <is>
          <t>KRONOBERGS LÄN</t>
        </is>
      </c>
      <c r="G182" t="inlineStr">
        <is>
          <t>LESSEBO</t>
        </is>
      </c>
      <c r="I182" t="n">
        <v>21.3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39603-2022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46219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59321-2024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46219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46219</v>
      </c>
      <c r="F185" t="inlineStr">
        <is>
          <t>KRONOBERGS LÄN</t>
        </is>
      </c>
      <c r="G185" t="inlineStr">
        <is>
          <t>LESSEBO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10286-2026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46219</v>
      </c>
      <c r="F186" t="inlineStr">
        <is>
          <t>KRONOBERGS LÄN</t>
        </is>
      </c>
      <c r="G186" t="inlineStr">
        <is>
          <t>LESSEBO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17203-2025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45756</v>
      </c>
      <c r="E187" s="1" t="n">
        <v>46219</v>
      </c>
      <c r="F187" t="inlineStr">
        <is>
          <t>KRONOBERGS LÄN</t>
        </is>
      </c>
      <c r="G187" t="inlineStr">
        <is>
          <t>LESSEBO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40912-2023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45173</v>
      </c>
      <c r="E188" s="1" t="n">
        <v>46219</v>
      </c>
      <c r="F188" t="inlineStr">
        <is>
          <t>KRONOBERGS LÄN</t>
        </is>
      </c>
      <c r="G188" t="inlineStr">
        <is>
          <t>LESSEBO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10185-2026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46219</v>
      </c>
      <c r="F189" t="inlineStr">
        <is>
          <t>KRONOBERGS LÄN</t>
        </is>
      </c>
      <c r="G189" t="inlineStr">
        <is>
          <t>LESSEBO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10189-2026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46219</v>
      </c>
      <c r="F190" t="inlineStr">
        <is>
          <t>KRONOBERGS LÄN</t>
        </is>
      </c>
      <c r="G190" t="inlineStr">
        <is>
          <t>LESSEBO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46219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54541-2023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45233</v>
      </c>
      <c r="E192" s="1" t="n">
        <v>46219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45322</v>
      </c>
      <c r="E193" s="1" t="n">
        <v>46219</v>
      </c>
      <c r="F193" t="inlineStr">
        <is>
          <t>KRONOBERGS LÄN</t>
        </is>
      </c>
      <c r="G193" t="inlineStr">
        <is>
          <t>LESSEBO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46219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46219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41905-2022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46219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46219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39436-2022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44818</v>
      </c>
      <c r="E198" s="1" t="n">
        <v>46219</v>
      </c>
      <c r="F198" t="inlineStr">
        <is>
          <t>KRONOBERGS LÄN</t>
        </is>
      </c>
      <c r="G198" t="inlineStr">
        <is>
          <t>LESSEBO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53487-2024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45611</v>
      </c>
      <c r="E199" s="1" t="n">
        <v>46219</v>
      </c>
      <c r="F199" t="inlineStr">
        <is>
          <t>KRONOBERGS LÄN</t>
        </is>
      </c>
      <c r="G199" t="inlineStr">
        <is>
          <t>LESSEBO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46219</v>
      </c>
      <c r="F200" t="inlineStr">
        <is>
          <t>KRONOBERGS LÄN</t>
        </is>
      </c>
      <c r="G200" t="inlineStr">
        <is>
          <t>LESSEBO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46219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8174-2025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45708</v>
      </c>
      <c r="E202" s="1" t="n">
        <v>46219</v>
      </c>
      <c r="F202" t="inlineStr">
        <is>
          <t>KRONOBERGS LÄN</t>
        </is>
      </c>
      <c r="G202" t="inlineStr">
        <is>
          <t>LESSEBO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35332-2022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44798</v>
      </c>
      <c r="E203" s="1" t="n">
        <v>46219</v>
      </c>
      <c r="F203" t="inlineStr">
        <is>
          <t>KRONOBERGS LÄN</t>
        </is>
      </c>
      <c r="G203" t="inlineStr">
        <is>
          <t>LESSEBO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8173-2025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45708</v>
      </c>
      <c r="E204" s="1" t="n">
        <v>46219</v>
      </c>
      <c r="F204" t="inlineStr">
        <is>
          <t>KRONOBERGS LÄN</t>
        </is>
      </c>
      <c r="G204" t="inlineStr">
        <is>
          <t>LESSEBO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56467-2024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46219</v>
      </c>
      <c r="F205" t="inlineStr">
        <is>
          <t>KRONOBERGS LÄN</t>
        </is>
      </c>
      <c r="G205" t="inlineStr">
        <is>
          <t>LESSEBO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59320-2024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46219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46219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46219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70349-2021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44536</v>
      </c>
      <c r="E209" s="1" t="n">
        <v>46219</v>
      </c>
      <c r="F209" t="inlineStr">
        <is>
          <t>KRONOBERGS LÄN</t>
        </is>
      </c>
      <c r="G209" t="inlineStr">
        <is>
          <t>LESSEBO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18625-2026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46219</v>
      </c>
      <c r="F210" t="inlineStr">
        <is>
          <t>KRONOBERGS LÄN</t>
        </is>
      </c>
      <c r="G210" t="inlineStr">
        <is>
          <t>LESSEBO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20478-2025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46219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20851-2025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46219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21917-2025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46219</v>
      </c>
      <c r="F213" t="inlineStr">
        <is>
          <t>KRONOBERGS LÄN</t>
        </is>
      </c>
      <c r="G213" t="inlineStr">
        <is>
          <t>LESSEBO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20855-2025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46219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29659-2025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45825</v>
      </c>
      <c r="E215" s="1" t="n">
        <v>46219</v>
      </c>
      <c r="F215" t="inlineStr">
        <is>
          <t>KRONOBERGS LÄN</t>
        </is>
      </c>
      <c r="G215" t="inlineStr">
        <is>
          <t>LESSEBO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20854-2025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46219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30914-2022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46219</v>
      </c>
      <c r="F217" t="inlineStr">
        <is>
          <t>KRONOBERGS LÄN</t>
        </is>
      </c>
      <c r="G217" t="inlineStr">
        <is>
          <t>LESSEBO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20853-2025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45777</v>
      </c>
      <c r="E218" s="1" t="n">
        <v>46219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46219</v>
      </c>
      <c r="F219" t="inlineStr">
        <is>
          <t>KRONOBERGS LÄN</t>
        </is>
      </c>
      <c r="G219" t="inlineStr">
        <is>
          <t>LESSEBO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73140-2021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44550</v>
      </c>
      <c r="E220" s="1" t="n">
        <v>46219</v>
      </c>
      <c r="F220" t="inlineStr">
        <is>
          <t>KRONOBERGS LÄN</t>
        </is>
      </c>
      <c r="G220" t="inlineStr">
        <is>
          <t>LESSEBO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47693-2025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46219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20056-2025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45772</v>
      </c>
      <c r="E222" s="1" t="n">
        <v>46219</v>
      </c>
      <c r="F222" t="inlineStr">
        <is>
          <t>KRONOBERGS LÄN</t>
        </is>
      </c>
      <c r="G222" t="inlineStr">
        <is>
          <t>LESSEBO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30527-2025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46219</v>
      </c>
      <c r="F223" t="inlineStr">
        <is>
          <t>KRONOBERGS LÄN</t>
        </is>
      </c>
      <c r="G223" t="inlineStr">
        <is>
          <t>LESSEBO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27574-2023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46219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53341-2021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44468</v>
      </c>
      <c r="E225" s="1" t="n">
        <v>46219</v>
      </c>
      <c r="F225" t="inlineStr">
        <is>
          <t>KRONOBERGS LÄN</t>
        </is>
      </c>
      <c r="G225" t="inlineStr">
        <is>
          <t>LESSEBO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44955</v>
      </c>
      <c r="E226" s="1" t="n">
        <v>46219</v>
      </c>
      <c r="F226" t="inlineStr">
        <is>
          <t>KRONOBERGS LÄN</t>
        </is>
      </c>
      <c r="G226" t="inlineStr">
        <is>
          <t>LESSEBO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46219</v>
      </c>
      <c r="F227" t="inlineStr">
        <is>
          <t>KRONOBERGS LÄN</t>
        </is>
      </c>
      <c r="G227" t="inlineStr">
        <is>
          <t>LESSEBO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21546-2023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46219</v>
      </c>
      <c r="F228" t="inlineStr">
        <is>
          <t>KRONOBERGS LÄN</t>
        </is>
      </c>
      <c r="G228" t="inlineStr">
        <is>
          <t>LESSEBO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32712-2025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46219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36895-2025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46219</v>
      </c>
      <c r="F230" t="inlineStr">
        <is>
          <t>KRONOBERGS LÄN</t>
        </is>
      </c>
      <c r="G230" t="inlineStr">
        <is>
          <t>LESSEBO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56471-2024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46219</v>
      </c>
      <c r="F231" t="inlineStr">
        <is>
          <t>KRONOBERGS LÄN</t>
        </is>
      </c>
      <c r="G231" t="inlineStr">
        <is>
          <t>LESSEBO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46219</v>
      </c>
      <c r="F232" t="inlineStr">
        <is>
          <t>KRONOBERGS LÄN</t>
        </is>
      </c>
      <c r="G232" t="inlineStr">
        <is>
          <t>LESSEBO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35909-2025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45862</v>
      </c>
      <c r="E233" s="1" t="n">
        <v>46219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45862</v>
      </c>
      <c r="E234" s="1" t="n">
        <v>46219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35894-2025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45862</v>
      </c>
      <c r="E235" s="1" t="n">
        <v>46219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10047-2024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46219</v>
      </c>
      <c r="F236" t="inlineStr">
        <is>
          <t>KRONOBERGS LÄN</t>
        </is>
      </c>
      <c r="G236" t="inlineStr">
        <is>
          <t>LESSEBO</t>
        </is>
      </c>
      <c r="H236" t="inlineStr">
        <is>
          <t>Övriga Aktiebolag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21311-2026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46147</v>
      </c>
      <c r="E237" s="1" t="n">
        <v>46219</v>
      </c>
      <c r="F237" t="inlineStr">
        <is>
          <t>KRONOBERGS LÄN</t>
        </is>
      </c>
      <c r="G237" t="inlineStr">
        <is>
          <t>LESSEBO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27870-2026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46219</v>
      </c>
      <c r="F238" t="inlineStr">
        <is>
          <t>KRONOBERGS LÄN</t>
        </is>
      </c>
      <c r="G238" t="inlineStr">
        <is>
          <t>LESSEBO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27873-2026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46219</v>
      </c>
      <c r="F239" t="inlineStr">
        <is>
          <t>KRONOBERGS LÄN</t>
        </is>
      </c>
      <c r="G239" t="inlineStr">
        <is>
          <t>LESSEBO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22318-2026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46219</v>
      </c>
      <c r="F240" t="inlineStr">
        <is>
          <t>KRONOBERGS LÄN</t>
        </is>
      </c>
      <c r="G240" t="inlineStr">
        <is>
          <t>LESSEBO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22423-2026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46154</v>
      </c>
      <c r="E241" s="1" t="n">
        <v>46219</v>
      </c>
      <c r="F241" t="inlineStr">
        <is>
          <t>KRONOBERGS LÄN</t>
        </is>
      </c>
      <c r="G241" t="inlineStr">
        <is>
          <t>LESSEBO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22764-2026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46219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22768-2026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46219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22770-2026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46219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20431-2025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46219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22723-2026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46219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20681-2025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45776</v>
      </c>
      <c r="E247" s="1" t="n">
        <v>46219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22718-2026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46157</v>
      </c>
      <c r="E248" s="1" t="n">
        <v>46219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22766-2026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46157</v>
      </c>
      <c r="E249" s="1" t="n">
        <v>46219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22756-2026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46157</v>
      </c>
      <c r="E250" s="1" t="n">
        <v>46219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22758-2026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46157</v>
      </c>
      <c r="E251" s="1" t="n">
        <v>46219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20435-2025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46219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46219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22719-2026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46157</v>
      </c>
      <c r="E254" s="1" t="n">
        <v>46219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22720-2026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46157</v>
      </c>
      <c r="E255" s="1" t="n">
        <v>46219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46219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46219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46219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46219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46219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46219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46219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46219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46219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46219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46219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46219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46219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46219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46219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46219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46219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46219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46219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2026-07-16T01:28:56Z</dcterms:created>
  <dcterms:modified xmlns:dcterms="http://purl.org/dc/terms/" xmlns:xsi="http://www.w3.org/2001/XMLSchema-instance" xsi:type="dcterms:W3CDTF">2026-07-16T01:28:57Z</dcterms:modified>
</cp:coreProperties>
</file>