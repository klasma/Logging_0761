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46225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46225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46225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37936-2021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44403</v>
      </c>
      <c r="E14" s="1" t="n">
        <v>46225</v>
      </c>
      <c r="F14" t="inlineStr">
        <is>
          <t>KRONOBERGS LÄN</t>
        </is>
      </c>
      <c r="G14" t="inlineStr">
        <is>
          <t>LESSEBO</t>
        </is>
      </c>
      <c r="I14" t="n">
        <v>6.2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Knärot</t>
        </is>
      </c>
      <c r="W14">
        <f>HYPERLINK("https://klasma.github.io/Logging_0761/artfynd/A 37936-2021 artfynd.xlsx", "A 37936-2021")</f>
        <v/>
      </c>
      <c r="X14">
        <f>HYPERLINK("https://klasma.github.io/Logging_0761/kartor/A 37936-2021 karta.png", "A 37936-2021")</f>
        <v/>
      </c>
      <c r="Y14">
        <f>HYPERLINK("https://klasma.github.io/Logging_0761/kartor_geotiff/A 37936-2021 georefererad karta.tif", "A 37936-2021")</f>
        <v/>
      </c>
      <c r="Z14">
        <f>HYPERLINK("https://klasma.github.io/Logging_0761/knärot/A 37936-2021 karta knärot.png", "A 37936-2021")</f>
        <v/>
      </c>
      <c r="AA14">
        <f>HYPERLINK("https://klasma.github.io/Logging_0761/klagomål/A 37936-2021 FSC-klagomål.docx", "A 37936-2021")</f>
        <v/>
      </c>
      <c r="AB14">
        <f>HYPERLINK("https://klasma.github.io/Logging_0761/klagomålsmail/A 37936-2021 FSC-klagomål mail.docx", "A 37936-2021")</f>
        <v/>
      </c>
      <c r="AC14">
        <f>HYPERLINK("https://klasma.github.io/Logging_0761/tillsyn/A 37936-2021 tillsynsbegäran.docx", "A 37936-2021")</f>
        <v/>
      </c>
      <c r="AD14">
        <f>HYPERLINK("https://klasma.github.io/Logging_0761/tillsynsmail/A 37936-2021 tillsynsbegäran mail.docx", "A 37936-2021")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46225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HYPERLINK("https://klasma.github.io/Logging_0761/artfynd/A 56472-2024 artfynd.xlsx", "A 56472-2024")</f>
        <v/>
      </c>
      <c r="X15">
        <f>HYPERLINK("https://klasma.github.io/Logging_0761/kartor/A 56472-2024 karta.png", "A 56472-2024")</f>
        <v/>
      </c>
      <c r="Y15">
        <f>HYPERLINK("https://klasma.github.io/Logging_0761/kartor_geotiff/A 56472-2024 georefererad karta.tif", "A 56472-2024")</f>
        <v/>
      </c>
      <c r="AA15">
        <f>HYPERLINK("https://klasma.github.io/Logging_0761/klagomål/A 56472-2024 FSC-klagomål.docx", "A 56472-2024")</f>
        <v/>
      </c>
      <c r="AB15">
        <f>HYPERLINK("https://klasma.github.io/Logging_0761/klagomålsmail/A 56472-2024 FSC-klagomål mail.docx", "A 56472-2024")</f>
        <v/>
      </c>
      <c r="AC15">
        <f>HYPERLINK("https://klasma.github.io/Logging_0761/tillsyn/A 56472-2024 tillsynsbegäran.docx", "A 56472-2024")</f>
        <v/>
      </c>
      <c r="AD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46225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46225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HYPERLINK("https://klasma.github.io/Logging_0761/artfynd/S 2864-2025 artfynd.xlsx", "S 2864-2025")</f>
        <v/>
      </c>
      <c r="X17">
        <f>HYPERLINK("https://klasma.github.io/Logging_0761/kartor/S 2864-2025 karta.png", "S 2864-2025")</f>
        <v/>
      </c>
      <c r="Y17">
        <f>HYPERLINK("https://klasma.github.io/Logging_0761/kartor_geotiff/S 2864-2025 georefererad karta.tif", "S 2864-2025")</f>
        <v/>
      </c>
      <c r="AA17">
        <f>HYPERLINK("https://klasma.github.io/Logging_0761/klagomål/S 2864-2025 FSC-klagomål.docx", "S 2864-2025")</f>
        <v/>
      </c>
      <c r="AB17">
        <f>HYPERLINK("https://klasma.github.io/Logging_0761/klagomålsmail/S 2864-2025 FSC-klagomål mail.docx", "S 2864-2025")</f>
        <v/>
      </c>
      <c r="AC17">
        <f>HYPERLINK("https://klasma.github.io/Logging_0761/tillsyn/S 2864-2025 tillsynsbegäran.docx", "S 2864-2025")</f>
        <v/>
      </c>
      <c r="AD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46225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Korallrot</t>
        </is>
      </c>
      <c r="W18">
        <f>HYPERLINK("https://klasma.github.io/Logging_0761/artfynd/S 1978-2026 artfynd.xlsx", "S 1978-2026")</f>
        <v/>
      </c>
      <c r="X18">
        <f>HYPERLINK("https://klasma.github.io/Logging_0761/kartor/S 1978-2026 karta.png", "S 1978-2026")</f>
        <v/>
      </c>
      <c r="Y18">
        <f>HYPERLINK("https://klasma.github.io/Logging_0761/kartor_geotiff/S 1978-2026 georefererad karta.tif", "S 1978-2026")</f>
        <v/>
      </c>
      <c r="Z18">
        <f>HYPERLINK("https://klasma.github.io/Logging_0761/knärot/S 1978-2026 karta knärot.png", "S 1978-2026")</f>
        <v/>
      </c>
      <c r="AA18">
        <f>HYPERLINK("https://klasma.github.io/Logging_0761/klagomål/S 1978-2026 FSC-klagomål.docx", "S 1978-2026")</f>
        <v/>
      </c>
      <c r="AB18">
        <f>HYPERLINK("https://klasma.github.io/Logging_0761/klagomålsmail/S 1978-2026 FSC-klagomål mail.docx", "S 1978-2026")</f>
        <v/>
      </c>
      <c r="AC18">
        <f>HYPERLINK("https://klasma.github.io/Logging_0761/tillsyn/S 1978-2026 tillsynsbegäran.docx", "S 1978-2026")</f>
        <v/>
      </c>
      <c r="AD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46225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46225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46225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46225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46225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46225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46225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46225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46225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46225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46225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46225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46225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46225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46225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46225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46225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46225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41619-2021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44425</v>
      </c>
      <c r="E37" s="1" t="n">
        <v>46225</v>
      </c>
      <c r="F37" t="inlineStr">
        <is>
          <t>KRONOBERGS LÄN</t>
        </is>
      </c>
      <c r="G37" t="inlineStr">
        <is>
          <t>LESSEBO</t>
        </is>
      </c>
      <c r="H37" t="inlineStr">
        <is>
          <t>Sveaskog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46225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46225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46225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46225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46225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46225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46225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46225</v>
      </c>
      <c r="F45" t="inlineStr">
        <is>
          <t>KRONOBERGS LÄN</t>
        </is>
      </c>
      <c r="G45" t="inlineStr">
        <is>
          <t>LESSEBO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27080-2022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46225</v>
      </c>
      <c r="F46" t="inlineStr">
        <is>
          <t>KRONOBERGS LÄN</t>
        </is>
      </c>
      <c r="G46" t="inlineStr">
        <is>
          <t>LESSEBO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45376</v>
      </c>
      <c r="E47" s="1" t="n">
        <v>46225</v>
      </c>
      <c r="F47" t="inlineStr">
        <is>
          <t>KRONOBERGS LÄN</t>
        </is>
      </c>
      <c r="G47" t="inlineStr">
        <is>
          <t>LESSEBO</t>
        </is>
      </c>
      <c r="H47" t="inlineStr">
        <is>
          <t>Kommuner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45775</v>
      </c>
      <c r="E48" s="1" t="n">
        <v>46225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46225</v>
      </c>
      <c r="F49" t="inlineStr">
        <is>
          <t>KRONOBERGS LÄN</t>
        </is>
      </c>
      <c r="G49" t="inlineStr">
        <is>
          <t>LESSEBO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27713-2022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46225</v>
      </c>
      <c r="F50" t="inlineStr">
        <is>
          <t>KRONOBERGS LÄN</t>
        </is>
      </c>
      <c r="G50" t="inlineStr">
        <is>
          <t>LESSEBO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46225</v>
      </c>
      <c r="F51" t="inlineStr">
        <is>
          <t>KRONOBERGS LÄN</t>
        </is>
      </c>
      <c r="G51" t="inlineStr">
        <is>
          <t>LESSEBO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24171-2024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45456</v>
      </c>
      <c r="E52" s="1" t="n">
        <v>46225</v>
      </c>
      <c r="F52" t="inlineStr">
        <is>
          <t>KRONOBERGS LÄN</t>
        </is>
      </c>
      <c r="G52" t="inlineStr">
        <is>
          <t>LESSEBO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45459</v>
      </c>
      <c r="E53" s="1" t="n">
        <v>46225</v>
      </c>
      <c r="F53" t="inlineStr">
        <is>
          <t>KRONOBERGS LÄN</t>
        </is>
      </c>
      <c r="G53" t="inlineStr">
        <is>
          <t>LESSEBO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64635-2023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46225</v>
      </c>
      <c r="F54" t="inlineStr">
        <is>
          <t>KRONOBERGS LÄN</t>
        </is>
      </c>
      <c r="G54" t="inlineStr">
        <is>
          <t>LESSEBO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44896</v>
      </c>
      <c r="E55" s="1" t="n">
        <v>46225</v>
      </c>
      <c r="F55" t="inlineStr">
        <is>
          <t>KRONOBERGS LÄN</t>
        </is>
      </c>
      <c r="G55" t="inlineStr">
        <is>
          <t>LESSEBO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20541-2024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46225</v>
      </c>
      <c r="F56" t="inlineStr">
        <is>
          <t>KRONOBERGS LÄN</t>
        </is>
      </c>
      <c r="G56" t="inlineStr">
        <is>
          <t>LESSEBO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45611</v>
      </c>
      <c r="E57" s="1" t="n">
        <v>46225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10414-2025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45720</v>
      </c>
      <c r="E58" s="1" t="n">
        <v>46225</v>
      </c>
      <c r="F58" t="inlineStr">
        <is>
          <t>KRONOBERGS LÄN</t>
        </is>
      </c>
      <c r="G58" t="inlineStr">
        <is>
          <t>LESSEBO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46225</v>
      </c>
      <c r="F59" t="inlineStr">
        <is>
          <t>KRONOBERGS LÄN</t>
        </is>
      </c>
      <c r="G59" t="inlineStr">
        <is>
          <t>LESSEBO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46225</v>
      </c>
      <c r="F60" t="inlineStr">
        <is>
          <t>KRONOBERGS LÄN</t>
        </is>
      </c>
      <c r="G60" t="inlineStr">
        <is>
          <t>LESSEBO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8174-2025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45708</v>
      </c>
      <c r="E61" s="1" t="n">
        <v>46225</v>
      </c>
      <c r="F61" t="inlineStr">
        <is>
          <t>KRONOBERGS LÄN</t>
        </is>
      </c>
      <c r="G61" t="inlineStr">
        <is>
          <t>LESSEBO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8173-2025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45708</v>
      </c>
      <c r="E62" s="1" t="n">
        <v>46225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45427</v>
      </c>
      <c r="E63" s="1" t="n">
        <v>46225</v>
      </c>
      <c r="F63" t="inlineStr">
        <is>
          <t>KRONOBERGS LÄN</t>
        </is>
      </c>
      <c r="G63" t="inlineStr">
        <is>
          <t>LESSEBO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46225</v>
      </c>
      <c r="F64" t="inlineStr">
        <is>
          <t>KRONOBERGS LÄN</t>
        </is>
      </c>
      <c r="G64" t="inlineStr">
        <is>
          <t>LESSEBO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46225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46225</v>
      </c>
      <c r="F66" t="inlineStr">
        <is>
          <t>KRONOBERGS LÄN</t>
        </is>
      </c>
      <c r="G66" t="inlineStr">
        <is>
          <t>LESSEBO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4236-2026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46044</v>
      </c>
      <c r="E67" s="1" t="n">
        <v>46225</v>
      </c>
      <c r="F67" t="inlineStr">
        <is>
          <t>KRONOBERGS LÄN</t>
        </is>
      </c>
      <c r="G67" t="inlineStr">
        <is>
          <t>LESSEBO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46225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46225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39884-2025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46225</v>
      </c>
      <c r="F70" t="inlineStr">
        <is>
          <t>KRONOBERGS LÄN</t>
        </is>
      </c>
      <c r="G70" t="inlineStr">
        <is>
          <t>LESSEBO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29659-2025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45825</v>
      </c>
      <c r="E71" s="1" t="n">
        <v>46225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46225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46225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45862</v>
      </c>
      <c r="E74" s="1" t="n">
        <v>46225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45831</v>
      </c>
      <c r="E75" s="1" t="n">
        <v>46225</v>
      </c>
      <c r="F75" t="inlineStr">
        <is>
          <t>KRONOBERGS LÄN</t>
        </is>
      </c>
      <c r="G75" t="inlineStr">
        <is>
          <t>LESSEBO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46225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46225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46225</v>
      </c>
      <c r="F78" t="inlineStr">
        <is>
          <t>KRONOBERGS LÄN</t>
        </is>
      </c>
      <c r="G78" t="inlineStr">
        <is>
          <t>LESSEBO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10286-2026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46076</v>
      </c>
      <c r="E79" s="1" t="n">
        <v>46225</v>
      </c>
      <c r="F79" t="inlineStr">
        <is>
          <t>KRONOBERGS LÄN</t>
        </is>
      </c>
      <c r="G79" t="inlineStr">
        <is>
          <t>LESSEBO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46225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46076</v>
      </c>
      <c r="E81" s="1" t="n">
        <v>46225</v>
      </c>
      <c r="F81" t="inlineStr">
        <is>
          <t>KRONOBERGS LÄN</t>
        </is>
      </c>
      <c r="G81" t="inlineStr">
        <is>
          <t>LESSEBO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46225</v>
      </c>
      <c r="F82" t="inlineStr">
        <is>
          <t>KRONOBERGS LÄN</t>
        </is>
      </c>
      <c r="G82" t="inlineStr">
        <is>
          <t>LESSEBO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10189-2026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46076</v>
      </c>
      <c r="E83" s="1" t="n">
        <v>46225</v>
      </c>
      <c r="F83" t="inlineStr">
        <is>
          <t>KRONOBERGS LÄN</t>
        </is>
      </c>
      <c r="G83" t="inlineStr">
        <is>
          <t>LESSEBO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45862</v>
      </c>
      <c r="E84" s="1" t="n">
        <v>46225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46225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46225</v>
      </c>
      <c r="F86" t="inlineStr">
        <is>
          <t>KRONOBERGS LÄN</t>
        </is>
      </c>
      <c r="G86" t="inlineStr">
        <is>
          <t>LESSEBO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46225</v>
      </c>
      <c r="F87" t="inlineStr">
        <is>
          <t>KRONOBERGS LÄN</t>
        </is>
      </c>
      <c r="G87" t="inlineStr">
        <is>
          <t>LESSEBO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46225</v>
      </c>
      <c r="F88" t="inlineStr">
        <is>
          <t>KRONOBERGS LÄN</t>
        </is>
      </c>
      <c r="G88" t="inlineStr">
        <is>
          <t>LESSEBO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46225</v>
      </c>
      <c r="F89" t="inlineStr">
        <is>
          <t>KRONOBERGS LÄN</t>
        </is>
      </c>
      <c r="G89" t="inlineStr">
        <is>
          <t>LESSEBO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46225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45775</v>
      </c>
      <c r="E91" s="1" t="n">
        <v>46225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46225</v>
      </c>
      <c r="F92" t="inlineStr">
        <is>
          <t>KRONOBERGS LÄN</t>
        </is>
      </c>
      <c r="G92" t="inlineStr">
        <is>
          <t>LESSEBO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46225</v>
      </c>
      <c r="F93" t="inlineStr">
        <is>
          <t>KRONOBERGS LÄN</t>
        </is>
      </c>
      <c r="G93" t="inlineStr">
        <is>
          <t>LESSEBO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10047-2024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45364</v>
      </c>
      <c r="E94" s="1" t="n">
        <v>46225</v>
      </c>
      <c r="F94" t="inlineStr">
        <is>
          <t>KRONOBERGS LÄN</t>
        </is>
      </c>
      <c r="G94" t="inlineStr">
        <is>
          <t>LESSEBO</t>
        </is>
      </c>
      <c r="H94" t="inlineStr">
        <is>
          <t>Övriga Aktiebolag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45708</v>
      </c>
      <c r="E95" s="1" t="n">
        <v>46225</v>
      </c>
      <c r="F95" t="inlineStr">
        <is>
          <t>KRONOBERGS LÄN</t>
        </is>
      </c>
      <c r="G95" t="inlineStr">
        <is>
          <t>LESSEBO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46225</v>
      </c>
      <c r="F96" t="inlineStr">
        <is>
          <t>KRONOBERGS LÄN</t>
        </is>
      </c>
      <c r="G96" t="inlineStr">
        <is>
          <t>LESSEBO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46225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46225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46225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46225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46225</v>
      </c>
      <c r="F101" t="inlineStr">
        <is>
          <t>KRONOBERGS LÄN</t>
        </is>
      </c>
      <c r="G101" t="inlineStr">
        <is>
          <t>LESSEBO</t>
        </is>
      </c>
      <c r="H101" t="inlineStr">
        <is>
          <t>Kommuner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46225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46225</v>
      </c>
      <c r="F103" t="inlineStr">
        <is>
          <t>KRONOBERGS LÄN</t>
        </is>
      </c>
      <c r="G103" t="inlineStr">
        <is>
          <t>LESSEBO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46225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46225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46225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46127</v>
      </c>
      <c r="E107" s="1" t="n">
        <v>46225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46225</v>
      </c>
      <c r="F108" t="inlineStr">
        <is>
          <t>KRONOBERGS LÄN</t>
        </is>
      </c>
      <c r="G108" t="inlineStr">
        <is>
          <t>LESSEBO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46225</v>
      </c>
      <c r="F109" t="inlineStr">
        <is>
          <t>KRONOBERGS LÄN</t>
        </is>
      </c>
      <c r="G109" t="inlineStr">
        <is>
          <t>LESSEBO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45518</v>
      </c>
      <c r="E110" s="1" t="n">
        <v>46225</v>
      </c>
      <c r="F110" t="inlineStr">
        <is>
          <t>KRONOBERGS LÄN</t>
        </is>
      </c>
      <c r="G110" t="inlineStr">
        <is>
          <t>LESSEBO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39389-2024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45551</v>
      </c>
      <c r="E111" s="1" t="n">
        <v>46225</v>
      </c>
      <c r="F111" t="inlineStr">
        <is>
          <t>KRONOBERGS LÄN</t>
        </is>
      </c>
      <c r="G111" t="inlineStr">
        <is>
          <t>LESSEBO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44910</v>
      </c>
      <c r="E112" s="1" t="n">
        <v>46225</v>
      </c>
      <c r="F112" t="inlineStr">
        <is>
          <t>KRONOBERGS LÄN</t>
        </is>
      </c>
      <c r="G112" t="inlineStr">
        <is>
          <t>LESSEBO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45784</v>
      </c>
      <c r="E113" s="1" t="n">
        <v>46225</v>
      </c>
      <c r="F113" t="inlineStr">
        <is>
          <t>KRONOBERGS LÄN</t>
        </is>
      </c>
      <c r="G113" t="inlineStr">
        <is>
          <t>LESSEBO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46225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46225</v>
      </c>
      <c r="F115" t="inlineStr">
        <is>
          <t>KRONOBERGS LÄN</t>
        </is>
      </c>
      <c r="G115" t="inlineStr">
        <is>
          <t>LESSEBO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47693-2025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46225</v>
      </c>
      <c r="F116" t="inlineStr">
        <is>
          <t>KRONOBERGS LÄN</t>
        </is>
      </c>
      <c r="G116" t="inlineStr">
        <is>
          <t>LESSEBO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45772</v>
      </c>
      <c r="E117" s="1" t="n">
        <v>46225</v>
      </c>
      <c r="F117" t="inlineStr">
        <is>
          <t>KRONOBERGS LÄN</t>
        </is>
      </c>
      <c r="G117" t="inlineStr">
        <is>
          <t>LESSEBO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44916</v>
      </c>
      <c r="E118" s="1" t="n">
        <v>46225</v>
      </c>
      <c r="F118" t="inlineStr">
        <is>
          <t>KRONOBERGS LÄN</t>
        </is>
      </c>
      <c r="G118" t="inlineStr">
        <is>
          <t>LESSEBO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44916</v>
      </c>
      <c r="E119" s="1" t="n">
        <v>46225</v>
      </c>
      <c r="F119" t="inlineStr">
        <is>
          <t>KRONOBERGS LÄN</t>
        </is>
      </c>
      <c r="G119" t="inlineStr">
        <is>
          <t>LESSEBO</t>
        </is>
      </c>
      <c r="H119" t="inlineStr">
        <is>
          <t>Kommuner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45568</v>
      </c>
      <c r="E120" s="1" t="n">
        <v>46225</v>
      </c>
      <c r="F120" t="inlineStr">
        <is>
          <t>KRONOBERGS LÄN</t>
        </is>
      </c>
      <c r="G120" t="inlineStr">
        <is>
          <t>LESSEBO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45874</v>
      </c>
      <c r="E121" s="1" t="n">
        <v>46225</v>
      </c>
      <c r="F121" t="inlineStr">
        <is>
          <t>KRONOBERGS LÄN</t>
        </is>
      </c>
      <c r="G121" t="inlineStr">
        <is>
          <t>LESSEBO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46225</v>
      </c>
      <c r="F122" t="inlineStr">
        <is>
          <t>KRONOBERGS LÄN</t>
        </is>
      </c>
      <c r="G122" t="inlineStr">
        <is>
          <t>LESSEBO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46225</v>
      </c>
      <c r="F123" t="inlineStr">
        <is>
          <t>KRONOBERGS LÄN</t>
        </is>
      </c>
      <c r="G123" t="inlineStr">
        <is>
          <t>LESSEBO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46225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46225</v>
      </c>
      <c r="F125" t="inlineStr">
        <is>
          <t>KRONOBERGS LÄN</t>
        </is>
      </c>
      <c r="G125" t="inlineStr">
        <is>
          <t>LESSEBO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46225</v>
      </c>
      <c r="F126" t="inlineStr">
        <is>
          <t>KRONOBERGS LÄN</t>
        </is>
      </c>
      <c r="G126" t="inlineStr">
        <is>
          <t>LESSEBO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46225</v>
      </c>
      <c r="F127" t="inlineStr">
        <is>
          <t>KRONOBERGS LÄN</t>
        </is>
      </c>
      <c r="G127" t="inlineStr">
        <is>
          <t>LESSEBO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46225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46225</v>
      </c>
      <c r="F129" t="inlineStr">
        <is>
          <t>KRONOBERGS LÄN</t>
        </is>
      </c>
      <c r="G129" t="inlineStr">
        <is>
          <t>LESSEBO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45862</v>
      </c>
      <c r="E130" s="1" t="n">
        <v>46225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46225</v>
      </c>
      <c r="F131" t="inlineStr">
        <is>
          <t>KRONOBERGS LÄN</t>
        </is>
      </c>
      <c r="G131" t="inlineStr">
        <is>
          <t>LESSEBO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46225</v>
      </c>
      <c r="F132" t="inlineStr">
        <is>
          <t>KRONOBERGS LÄN</t>
        </is>
      </c>
      <c r="G132" t="inlineStr">
        <is>
          <t>LESSEBO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46147</v>
      </c>
      <c r="E133" s="1" t="n">
        <v>46225</v>
      </c>
      <c r="F133" t="inlineStr">
        <is>
          <t>KRONOBERGS LÄN</t>
        </is>
      </c>
      <c r="G133" t="inlineStr">
        <is>
          <t>LESSEBO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46225</v>
      </c>
      <c r="F134" t="inlineStr">
        <is>
          <t>KRONOBERGS LÄN</t>
        </is>
      </c>
      <c r="G134" t="inlineStr">
        <is>
          <t>LESSEBO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46191</v>
      </c>
      <c r="E135" s="1" t="n">
        <v>46225</v>
      </c>
      <c r="F135" t="inlineStr">
        <is>
          <t>KRONOBERGS LÄN</t>
        </is>
      </c>
      <c r="G135" t="inlineStr">
        <is>
          <t>LESSEBO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45013</v>
      </c>
      <c r="E136" s="1" t="n">
        <v>46225</v>
      </c>
      <c r="F136" t="inlineStr">
        <is>
          <t>KRONOBERGS LÄN</t>
        </is>
      </c>
      <c r="G136" t="inlineStr">
        <is>
          <t>LESSEBO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46225</v>
      </c>
      <c r="F137" t="inlineStr">
        <is>
          <t>KRONOBERGS LÄN</t>
        </is>
      </c>
      <c r="G137" t="inlineStr">
        <is>
          <t>LESSEBO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19501-2022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44693</v>
      </c>
      <c r="E138" s="1" t="n">
        <v>46225</v>
      </c>
      <c r="F138" t="inlineStr">
        <is>
          <t>KRONOBERGS LÄN</t>
        </is>
      </c>
      <c r="G138" t="inlineStr">
        <is>
          <t>LESSEBO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46225</v>
      </c>
      <c r="F139" t="inlineStr">
        <is>
          <t>KRONOBERGS LÄN</t>
        </is>
      </c>
      <c r="G139" t="inlineStr">
        <is>
          <t>LESSEBO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46225</v>
      </c>
      <c r="F140" t="inlineStr">
        <is>
          <t>KRONOBERGS LÄN</t>
        </is>
      </c>
      <c r="G140" t="inlineStr">
        <is>
          <t>LESSEBO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45225</v>
      </c>
      <c r="E141" s="1" t="n">
        <v>46225</v>
      </c>
      <c r="F141" t="inlineStr">
        <is>
          <t>KRONOBERGS LÄN</t>
        </is>
      </c>
      <c r="G141" t="inlineStr">
        <is>
          <t>LESSEBO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45036</v>
      </c>
      <c r="E142" s="1" t="n">
        <v>46225</v>
      </c>
      <c r="F142" t="inlineStr">
        <is>
          <t>KRONOBERGS LÄN</t>
        </is>
      </c>
      <c r="G142" t="inlineStr">
        <is>
          <t>LESSEBO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22423-2026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46154</v>
      </c>
      <c r="E143" s="1" t="n">
        <v>46225</v>
      </c>
      <c r="F143" t="inlineStr">
        <is>
          <t>KRONOBERGS LÄN</t>
        </is>
      </c>
      <c r="G143" t="inlineStr">
        <is>
          <t>LESSEBO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46225</v>
      </c>
      <c r="F144" t="inlineStr">
        <is>
          <t>KRONOBERGS LÄN</t>
        </is>
      </c>
      <c r="G144" t="inlineStr">
        <is>
          <t>LESSEBO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46225</v>
      </c>
      <c r="F145" t="inlineStr">
        <is>
          <t>KRONOBERGS LÄN</t>
        </is>
      </c>
      <c r="G145" t="inlineStr">
        <is>
          <t>LESSEBO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46225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46225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46157</v>
      </c>
      <c r="E148" s="1" t="n">
        <v>46225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46225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22723-2026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46157</v>
      </c>
      <c r="E150" s="1" t="n">
        <v>46225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45776</v>
      </c>
      <c r="E151" s="1" t="n">
        <v>46225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46225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46225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46225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22758-2026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46225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46225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46225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46225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46225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44403</v>
      </c>
      <c r="E160" s="1" t="n">
        <v>46225</v>
      </c>
      <c r="F160" t="inlineStr">
        <is>
          <t>KRONOBERGS LÄN</t>
        </is>
      </c>
      <c r="G160" t="inlineStr">
        <is>
          <t>LESSEBO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46225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45710</v>
      </c>
      <c r="E162" s="1" t="n">
        <v>46225</v>
      </c>
      <c r="F162" t="inlineStr">
        <is>
          <t>KRONOBERGS LÄN</t>
        </is>
      </c>
      <c r="G162" t="inlineStr">
        <is>
          <t>LESSEBO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46225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22432-2023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45070</v>
      </c>
      <c r="E164" s="1" t="n">
        <v>46225</v>
      </c>
      <c r="F164" t="inlineStr">
        <is>
          <t>KRONOBERGS LÄN</t>
        </is>
      </c>
      <c r="G164" t="inlineStr">
        <is>
          <t>LESSEBO</t>
        </is>
      </c>
      <c r="H164" t="inlineStr">
        <is>
          <t>Kommuner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45036</v>
      </c>
      <c r="E165" s="1" t="n">
        <v>46225</v>
      </c>
      <c r="F165" t="inlineStr">
        <is>
          <t>KRONOBERGS LÄN</t>
        </is>
      </c>
      <c r="G165" t="inlineStr">
        <is>
          <t>LESSEBO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46225</v>
      </c>
      <c r="F166" t="inlineStr">
        <is>
          <t>KRONOBERGS LÄN</t>
        </is>
      </c>
      <c r="G166" t="inlineStr">
        <is>
          <t>LESSEBO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46205</v>
      </c>
      <c r="E167" s="1" t="n">
        <v>46225</v>
      </c>
      <c r="F167" t="inlineStr">
        <is>
          <t>KRONOBERGS LÄN</t>
        </is>
      </c>
      <c r="G167" t="inlineStr">
        <is>
          <t>LESSEBO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46205</v>
      </c>
      <c r="E168" s="1" t="n">
        <v>46225</v>
      </c>
      <c r="F168" t="inlineStr">
        <is>
          <t>KRONOBERGS LÄN</t>
        </is>
      </c>
      <c r="G168" t="inlineStr">
        <is>
          <t>LESSEBO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46169</v>
      </c>
      <c r="E169" s="1" t="n">
        <v>46225</v>
      </c>
      <c r="F169" t="inlineStr">
        <is>
          <t>KRONOBERGS LÄN</t>
        </is>
      </c>
      <c r="G169" t="inlineStr">
        <is>
          <t>LESSEBO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45111</v>
      </c>
      <c r="E170" s="1" t="n">
        <v>46225</v>
      </c>
      <c r="F170" t="inlineStr">
        <is>
          <t>KRONOBERGS LÄN</t>
        </is>
      </c>
      <c r="G170" t="inlineStr">
        <is>
          <t>LESSEBO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46225</v>
      </c>
      <c r="F171" t="inlineStr">
        <is>
          <t>KRONOBERGS LÄN</t>
        </is>
      </c>
      <c r="G171" t="inlineStr">
        <is>
          <t>LESSEBO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46225</v>
      </c>
      <c r="F172" t="inlineStr">
        <is>
          <t>KRONOBERGS LÄN</t>
        </is>
      </c>
      <c r="G172" t="inlineStr">
        <is>
          <t>LESSEBO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24269-2026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46225</v>
      </c>
      <c r="F173" t="inlineStr">
        <is>
          <t>KRONOBERGS LÄN</t>
        </is>
      </c>
      <c r="G173" t="inlineStr">
        <is>
          <t>LESSEBO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50892-2022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44867</v>
      </c>
      <c r="E174" s="1" t="n">
        <v>46225</v>
      </c>
      <c r="F174" t="inlineStr">
        <is>
          <t>KRONOBERGS LÄN</t>
        </is>
      </c>
      <c r="G174" t="inlineStr">
        <is>
          <t>LESSEBO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46225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46225</v>
      </c>
      <c r="F176" t="inlineStr">
        <is>
          <t>KRONOBERGS LÄN</t>
        </is>
      </c>
      <c r="G176" t="inlineStr">
        <is>
          <t>LESSEBO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46225</v>
      </c>
      <c r="F177" t="inlineStr">
        <is>
          <t>KRONOBERGS LÄN</t>
        </is>
      </c>
      <c r="G177" t="inlineStr">
        <is>
          <t>LESSEBO</t>
        </is>
      </c>
      <c r="H177" t="inlineStr">
        <is>
          <t>Kommuner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46225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30600-2024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45493</v>
      </c>
      <c r="E179" s="1" t="n">
        <v>46225</v>
      </c>
      <c r="F179" t="inlineStr">
        <is>
          <t>KRONOBERGS LÄN</t>
        </is>
      </c>
      <c r="G179" t="inlineStr">
        <is>
          <t>LESSEBO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15864-2022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44664</v>
      </c>
      <c r="E180" s="1" t="n">
        <v>46225</v>
      </c>
      <c r="F180" t="inlineStr">
        <is>
          <t>KRONOBERGS LÄN</t>
        </is>
      </c>
      <c r="G180" t="inlineStr">
        <is>
          <t>LESSEBO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45299</v>
      </c>
      <c r="E181" s="1" t="n">
        <v>46225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46225</v>
      </c>
      <c r="F182" t="inlineStr">
        <is>
          <t>KRONOBERGS LÄN</t>
        </is>
      </c>
      <c r="G182" t="inlineStr">
        <is>
          <t>LESSEBO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46225</v>
      </c>
      <c r="F183" t="inlineStr">
        <is>
          <t>KRONOBERGS LÄN</t>
        </is>
      </c>
      <c r="G183" t="inlineStr">
        <is>
          <t>LESSEBO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45282</v>
      </c>
      <c r="E184" s="1" t="n">
        <v>46225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45139</v>
      </c>
      <c r="E185" s="1" t="n">
        <v>46225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46225</v>
      </c>
      <c r="F186" t="inlineStr">
        <is>
          <t>KRONOBERGS LÄN</t>
        </is>
      </c>
      <c r="G186" t="inlineStr">
        <is>
          <t>LESSEBO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45398</v>
      </c>
      <c r="E187" s="1" t="n">
        <v>46225</v>
      </c>
      <c r="F187" t="inlineStr">
        <is>
          <t>KRONOBERGS LÄN</t>
        </is>
      </c>
      <c r="G187" t="inlineStr">
        <is>
          <t>LESSEBO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45037</v>
      </c>
      <c r="E188" s="1" t="n">
        <v>46225</v>
      </c>
      <c r="F188" t="inlineStr">
        <is>
          <t>KRONOBERGS LÄN</t>
        </is>
      </c>
      <c r="G188" t="inlineStr">
        <is>
          <t>LESSEBO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65137-2023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45288</v>
      </c>
      <c r="E189" s="1" t="n">
        <v>46225</v>
      </c>
      <c r="F189" t="inlineStr">
        <is>
          <t>KRONOBERGS LÄN</t>
        </is>
      </c>
      <c r="G189" t="inlineStr">
        <is>
          <t>LESSEBO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46225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44589</v>
      </c>
      <c r="E191" s="1" t="n">
        <v>46225</v>
      </c>
      <c r="F191" t="inlineStr">
        <is>
          <t>KRONOBERGS LÄN</t>
        </is>
      </c>
      <c r="G191" t="inlineStr">
        <is>
          <t>LESSEBO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45327</v>
      </c>
      <c r="E192" s="1" t="n">
        <v>46225</v>
      </c>
      <c r="F192" t="inlineStr">
        <is>
          <t>KRONOBERGS LÄN</t>
        </is>
      </c>
      <c r="G192" t="inlineStr">
        <is>
          <t>LESSEBO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33076-2023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45126</v>
      </c>
      <c r="E193" s="1" t="n">
        <v>46225</v>
      </c>
      <c r="F193" t="inlineStr">
        <is>
          <t>KRONOBERGS LÄN</t>
        </is>
      </c>
      <c r="G193" t="inlineStr">
        <is>
          <t>LESSEBO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46225</v>
      </c>
      <c r="F194" t="inlineStr">
        <is>
          <t>KRONOBERGS LÄN</t>
        </is>
      </c>
      <c r="G194" t="inlineStr">
        <is>
          <t>LESSEBO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1490-2025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45670</v>
      </c>
      <c r="E195" s="1" t="n">
        <v>46225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46225</v>
      </c>
      <c r="F196" t="inlineStr">
        <is>
          <t>KRONOBERGS LÄN</t>
        </is>
      </c>
      <c r="G196" t="inlineStr">
        <is>
          <t>LESSEBO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46225</v>
      </c>
      <c r="F197" t="inlineStr">
        <is>
          <t>KRONOBERGS LÄN</t>
        </is>
      </c>
      <c r="G197" t="inlineStr">
        <is>
          <t>LESSEBO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44643</v>
      </c>
      <c r="E198" s="1" t="n">
        <v>46225</v>
      </c>
      <c r="F198" t="inlineStr">
        <is>
          <t>KRONOBERGS LÄN</t>
        </is>
      </c>
      <c r="G198" t="inlineStr">
        <is>
          <t>LESSEBO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46225</v>
      </c>
      <c r="F199" t="inlineStr">
        <is>
          <t>KRONOBERGS LÄN</t>
        </is>
      </c>
      <c r="G199" t="inlineStr">
        <is>
          <t>LESSEBO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46225</v>
      </c>
      <c r="F200" t="inlineStr">
        <is>
          <t>KRONOBERGS LÄN</t>
        </is>
      </c>
      <c r="G200" t="inlineStr">
        <is>
          <t>LESSEBO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46225</v>
      </c>
      <c r="F201" t="inlineStr">
        <is>
          <t>KRONOBERGS LÄN</t>
        </is>
      </c>
      <c r="G201" t="inlineStr">
        <is>
          <t>LESSEBO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46225</v>
      </c>
      <c r="F202" t="inlineStr">
        <is>
          <t>KRONOBERGS LÄN</t>
        </is>
      </c>
      <c r="G202" t="inlineStr">
        <is>
          <t>LESSEBO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46225</v>
      </c>
      <c r="F203" t="inlineStr">
        <is>
          <t>KRONOBERGS LÄN</t>
        </is>
      </c>
      <c r="G203" t="inlineStr">
        <is>
          <t>LESSEBO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45202</v>
      </c>
      <c r="E204" s="1" t="n">
        <v>46225</v>
      </c>
      <c r="F204" t="inlineStr">
        <is>
          <t>KRONOBERGS LÄN</t>
        </is>
      </c>
      <c r="G204" t="inlineStr">
        <is>
          <t>LESSEBO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50162-2023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45215</v>
      </c>
      <c r="E205" s="1" t="n">
        <v>46225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2755-2025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45677</v>
      </c>
      <c r="E206" s="1" t="n">
        <v>46225</v>
      </c>
      <c r="F206" t="inlineStr">
        <is>
          <t>KRONOBERGS LÄN</t>
        </is>
      </c>
      <c r="G206" t="inlineStr">
        <is>
          <t>LESSEBO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21745-2022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46225</v>
      </c>
      <c r="F207" t="inlineStr">
        <is>
          <t>KRONOBERGS LÄN</t>
        </is>
      </c>
      <c r="G207" t="inlineStr">
        <is>
          <t>LESSEBO</t>
        </is>
      </c>
      <c r="I207" t="n">
        <v>9.699999999999999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46225</v>
      </c>
      <c r="F208" t="inlineStr">
        <is>
          <t>KRONOBERGS LÄN</t>
        </is>
      </c>
      <c r="G208" t="inlineStr">
        <is>
          <t>LESSEBO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46225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46225</v>
      </c>
      <c r="F210" t="inlineStr">
        <is>
          <t>KRONOBERGS LÄN</t>
        </is>
      </c>
      <c r="G210" t="inlineStr">
        <is>
          <t>LESSEBO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45756</v>
      </c>
      <c r="E211" s="1" t="n">
        <v>46225</v>
      </c>
      <c r="F211" t="inlineStr">
        <is>
          <t>KRONOBERGS LÄN</t>
        </is>
      </c>
      <c r="G211" t="inlineStr">
        <is>
          <t>LESSEBO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45173</v>
      </c>
      <c r="E212" s="1" t="n">
        <v>46225</v>
      </c>
      <c r="F212" t="inlineStr">
        <is>
          <t>KRONOBERGS LÄN</t>
        </is>
      </c>
      <c r="G212" t="inlineStr">
        <is>
          <t>LESSEBO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46225</v>
      </c>
      <c r="F213" t="inlineStr">
        <is>
          <t>KRONOBERGS LÄN</t>
        </is>
      </c>
      <c r="G213" t="inlineStr">
        <is>
          <t>LESSEBO</t>
        </is>
      </c>
      <c r="H213" t="inlineStr">
        <is>
          <t>Kommuner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54541-2023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45233</v>
      </c>
      <c r="E214" s="1" t="n">
        <v>46225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46225</v>
      </c>
      <c r="F215" t="inlineStr">
        <is>
          <t>KRONOBERGS LÄN</t>
        </is>
      </c>
      <c r="G215" t="inlineStr">
        <is>
          <t>LESSEBO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46225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46225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46225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46225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45756</v>
      </c>
      <c r="E220" s="1" t="n">
        <v>46225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46225</v>
      </c>
      <c r="F221" t="inlineStr">
        <is>
          <t>KRONOBERGS LÄN</t>
        </is>
      </c>
      <c r="G221" t="inlineStr">
        <is>
          <t>LESSEBO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46225</v>
      </c>
      <c r="F222" t="inlineStr">
        <is>
          <t>KRONOBERGS LÄN</t>
        </is>
      </c>
      <c r="G222" t="inlineStr">
        <is>
          <t>LESSEBO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46225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70349-2021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46225</v>
      </c>
      <c r="F224" t="inlineStr">
        <is>
          <t>KRONOBERGS LÄN</t>
        </is>
      </c>
      <c r="G224" t="inlineStr">
        <is>
          <t>LESSEBO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30914-2022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44767</v>
      </c>
      <c r="E225" s="1" t="n">
        <v>46225</v>
      </c>
      <c r="F225" t="inlineStr">
        <is>
          <t>KRONOBERGS LÄN</t>
        </is>
      </c>
      <c r="G225" t="inlineStr">
        <is>
          <t>LESSEBO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73140-2021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46225</v>
      </c>
      <c r="F226" t="inlineStr">
        <is>
          <t>KRONOBERGS LÄN</t>
        </is>
      </c>
      <c r="G226" t="inlineStr">
        <is>
          <t>LESSEBO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27574-2023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46225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44468</v>
      </c>
      <c r="E228" s="1" t="n">
        <v>46225</v>
      </c>
      <c r="F228" t="inlineStr">
        <is>
          <t>KRONOBERGS LÄN</t>
        </is>
      </c>
      <c r="G228" t="inlineStr">
        <is>
          <t>LESSEBO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44955</v>
      </c>
      <c r="E229" s="1" t="n">
        <v>46225</v>
      </c>
      <c r="F229" t="inlineStr">
        <is>
          <t>KRONOBERGS LÄN</t>
        </is>
      </c>
      <c r="G229" t="inlineStr">
        <is>
          <t>LESSEBO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46225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46225</v>
      </c>
      <c r="F231" t="inlineStr">
        <is>
          <t>KRONOBERGS LÄN</t>
        </is>
      </c>
      <c r="G231" t="inlineStr">
        <is>
          <t>LESSEBO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45016</v>
      </c>
      <c r="E232" s="1" t="n">
        <v>46225</v>
      </c>
      <c r="F232" t="inlineStr">
        <is>
          <t>KRONOBERGS LÄN</t>
        </is>
      </c>
      <c r="G232" t="inlineStr">
        <is>
          <t>LESSEBO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859-2025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45665</v>
      </c>
      <c r="E233" s="1" t="n">
        <v>46225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45223</v>
      </c>
      <c r="E234" s="1" t="n">
        <v>46225</v>
      </c>
      <c r="F234" t="inlineStr">
        <is>
          <t>KRONOBERGS LÄN</t>
        </is>
      </c>
      <c r="G234" t="inlineStr">
        <is>
          <t>LESSEBO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46225</v>
      </c>
      <c r="F235" t="inlineStr">
        <is>
          <t>KRONOBERGS LÄN</t>
        </is>
      </c>
      <c r="G235" t="inlineStr">
        <is>
          <t>LESSEBO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68507-2021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44529</v>
      </c>
      <c r="E236" s="1" t="n">
        <v>46225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44814</v>
      </c>
      <c r="E237" s="1" t="n">
        <v>46225</v>
      </c>
      <c r="F237" t="inlineStr">
        <is>
          <t>KRONOBERGS LÄN</t>
        </is>
      </c>
      <c r="G237" t="inlineStr">
        <is>
          <t>LESSEBO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45775</v>
      </c>
      <c r="E238" s="1" t="n">
        <v>46225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45567</v>
      </c>
      <c r="E239" s="1" t="n">
        <v>46225</v>
      </c>
      <c r="F239" t="inlineStr">
        <is>
          <t>KRONOBERGS LÄN</t>
        </is>
      </c>
      <c r="G239" t="inlineStr">
        <is>
          <t>LESSEBO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45017</v>
      </c>
      <c r="E240" s="1" t="n">
        <v>46225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15204-2023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45017</v>
      </c>
      <c r="E241" s="1" t="n">
        <v>46225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46225</v>
      </c>
      <c r="F242" t="inlineStr">
        <is>
          <t>KRONOBERGS LÄN</t>
        </is>
      </c>
      <c r="G242" t="inlineStr">
        <is>
          <t>LESSEBO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44918</v>
      </c>
      <c r="E243" s="1" t="n">
        <v>46225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46225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46225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46225</v>
      </c>
      <c r="F246" t="inlineStr">
        <is>
          <t>KRONOBERGS LÄN</t>
        </is>
      </c>
      <c r="G246" t="inlineStr">
        <is>
          <t>LESSEBO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45741</v>
      </c>
      <c r="E247" s="1" t="n">
        <v>46225</v>
      </c>
      <c r="F247" t="inlineStr">
        <is>
          <t>KRONOBERGS LÄN</t>
        </is>
      </c>
      <c r="G247" t="inlineStr">
        <is>
          <t>LESSEBO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46225</v>
      </c>
      <c r="F248" t="inlineStr">
        <is>
          <t>KRONOBERGS LÄN</t>
        </is>
      </c>
      <c r="G248" t="inlineStr">
        <is>
          <t>LESSEBO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45560</v>
      </c>
      <c r="E249" s="1" t="n">
        <v>46225</v>
      </c>
      <c r="F249" t="inlineStr">
        <is>
          <t>KRONOBERGS LÄN</t>
        </is>
      </c>
      <c r="G249" t="inlineStr">
        <is>
          <t>LESSEBO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46225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46225</v>
      </c>
      <c r="F251" t="inlineStr">
        <is>
          <t>KRONOBERGS LÄN</t>
        </is>
      </c>
      <c r="G251" t="inlineStr">
        <is>
          <t>LESSEBO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21951-2025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45784</v>
      </c>
      <c r="E252" s="1" t="n">
        <v>46225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37964-2024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45544</v>
      </c>
      <c r="E253" s="1" t="n">
        <v>46225</v>
      </c>
      <c r="F253" t="inlineStr">
        <is>
          <t>KRONOBERGS LÄN</t>
        </is>
      </c>
      <c r="G253" t="inlineStr">
        <is>
          <t>LESSEBO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45688</v>
      </c>
      <c r="E254" s="1" t="n">
        <v>46225</v>
      </c>
      <c r="F254" t="inlineStr">
        <is>
          <t>KRONOBERGS LÄN</t>
        </is>
      </c>
      <c r="G254" t="inlineStr">
        <is>
          <t>LESSEBO</t>
        </is>
      </c>
      <c r="H254" t="inlineStr">
        <is>
          <t>Kommuner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45484</v>
      </c>
      <c r="E255" s="1" t="n">
        <v>46225</v>
      </c>
      <c r="F255" t="inlineStr">
        <is>
          <t>KRONOBERGS LÄN</t>
        </is>
      </c>
      <c r="G255" t="inlineStr">
        <is>
          <t>LESSEBO</t>
        </is>
      </c>
      <c r="I255" t="n">
        <v>21.3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46225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46225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46225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46225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46225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46225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46225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46225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46225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46225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46225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46225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46225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46225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46225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46225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46225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46225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46225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2026-07-22T01:34:45Z</dcterms:created>
  <dcterms:modified xmlns:dcterms="http://purl.org/dc/terms/" xmlns:xsi="http://www.w3.org/2001/XMLSchema-instance" xsi:type="dcterms:W3CDTF">2026-07-22T01:34:45Z</dcterms:modified>
</cp:coreProperties>
</file>