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46222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s="2" t="inlineStr">
        <is>
          <t>Ask
Läderbagge
Kardinalrödrock
Thamiaraea hospita
Avlång flatbagge
Dorcatoma chrysomelina
Guldlockmossa
Noshornsoxe
Sotlav</t>
        </is>
      </c>
      <c r="V2">
        <f>HYPERLINK("https://klasma.github.io/Logging_0761/artfynd/S 558-2024 artfynd.xlsx", "S 558-2024")</f>
        <v/>
      </c>
      <c r="W2">
        <f>HYPERLINK("https://klasma.github.io/Logging_0761/kartor/S 558-2024 karta.png", "S 558-2024")</f>
        <v/>
      </c>
      <c r="Y2">
        <f>HYPERLINK("https://klasma.github.io/Logging_0761/klagomål/S 558-2024 FSC-klagomål.docx", "S 558-2024")</f>
        <v/>
      </c>
      <c r="Z2">
        <f>HYPERLINK("https://klasma.github.io/Logging_0761/klagomålsmail/S 558-2024 FSC-klagomål mail.docx", "S 558-2024")</f>
        <v/>
      </c>
      <c r="AA2">
        <f>HYPERLINK("https://klasma.github.io/Logging_0761/tillsyn/S 558-2024 tillsynsbegäran.docx", "S 558-2024")</f>
        <v/>
      </c>
      <c r="AB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46222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Korallticka
Svinrot
Blomskägglav
Rostfläck
Blåsippa</t>
        </is>
      </c>
      <c r="V3">
        <f>HYPERLINK("https://klasma.github.io/Logging_0761/artfynd/S 95-2026 artfynd.xlsx", "S 95-2026")</f>
        <v/>
      </c>
      <c r="W3">
        <f>HYPERLINK("https://klasma.github.io/Logging_0761/kartor/S 95-2026 karta.png", "S 95-2026")</f>
        <v/>
      </c>
      <c r="Y3">
        <f>HYPERLINK("https://klasma.github.io/Logging_0761/klagomål/S 95-2026 FSC-klagomål.docx", "S 95-2026")</f>
        <v/>
      </c>
      <c r="Z3">
        <f>HYPERLINK("https://klasma.github.io/Logging_0761/klagomålsmail/S 95-2026 FSC-klagomål mail.docx", "S 95-2026")</f>
        <v/>
      </c>
      <c r="AA3">
        <f>HYPERLINK("https://klasma.github.io/Logging_0761/tillsyn/S 95-2026 tillsynsbegäran.docx", "S 95-2026")</f>
        <v/>
      </c>
      <c r="AB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46222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s="2" t="inlineStr">
        <is>
          <t>Gulsparv
Grönsiska
Kungsfågel
Trädlärka</t>
        </is>
      </c>
      <c r="V4">
        <f>HYPERLINK("https://klasma.github.io/Logging_0761/artfynd/A 52544-2025 artfynd.xlsx", "A 52544-2025")</f>
        <v/>
      </c>
      <c r="W4">
        <f>HYPERLINK("https://klasma.github.io/Logging_0761/kartor/A 52544-2025 karta.png", "A 52544-2025")</f>
        <v/>
      </c>
      <c r="Y4">
        <f>HYPERLINK("https://klasma.github.io/Logging_0761/klagomål/A 52544-2025 FSC-klagomål.docx", "A 52544-2025")</f>
        <v/>
      </c>
      <c r="Z4">
        <f>HYPERLINK("https://klasma.github.io/Logging_0761/klagomålsmail/A 52544-2025 FSC-klagomål mail.docx", "A 52544-2025")</f>
        <v/>
      </c>
      <c r="AA4">
        <f>HYPERLINK("https://klasma.github.io/Logging_0761/tillsyn/A 52544-2025 tillsynsbegäran.docx", "A 52544-2025")</f>
        <v/>
      </c>
      <c r="AB4">
        <f>HYPERLINK("https://klasma.github.io/Logging_0761/tillsynsmail/A 52544-2025 tillsynsbegäran mail.docx", "A 52544-2025")</f>
        <v/>
      </c>
      <c r="AC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46222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s="2" t="inlineStr">
        <is>
          <t>Brandticka
Vedticka
Kungsfågel</t>
        </is>
      </c>
      <c r="V5">
        <f>HYPERLINK("https://klasma.github.io/Logging_0761/artfynd/A 52542-2025 artfynd.xlsx", "A 52542-2025")</f>
        <v/>
      </c>
      <c r="W5">
        <f>HYPERLINK("https://klasma.github.io/Logging_0761/kartor/A 52542-2025 karta.png", "A 52542-2025")</f>
        <v/>
      </c>
      <c r="Y5">
        <f>HYPERLINK("https://klasma.github.io/Logging_0761/klagomål/A 52542-2025 FSC-klagomål.docx", "A 52542-2025")</f>
        <v/>
      </c>
      <c r="Z5">
        <f>HYPERLINK("https://klasma.github.io/Logging_0761/klagomålsmail/A 52542-2025 FSC-klagomål mail.docx", "A 52542-2025")</f>
        <v/>
      </c>
      <c r="AA5">
        <f>HYPERLINK("https://klasma.github.io/Logging_0761/tillsyn/A 52542-2025 tillsynsbegäran.docx", "A 52542-2025")</f>
        <v/>
      </c>
      <c r="AB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46222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s="2" t="inlineStr">
        <is>
          <t>Spillkråka
Grönsiska
Kungsfågel</t>
        </is>
      </c>
      <c r="V6">
        <f>HYPERLINK("https://klasma.github.io/Logging_0761/artfynd/A 52541-2025 artfynd.xlsx", "A 52541-2025")</f>
        <v/>
      </c>
      <c r="W6">
        <f>HYPERLINK("https://klasma.github.io/Logging_0761/kartor/A 52541-2025 karta.png", "A 52541-2025")</f>
        <v/>
      </c>
      <c r="Y6">
        <f>HYPERLINK("https://klasma.github.io/Logging_0761/klagomål/A 52541-2025 FSC-klagomål.docx", "A 52541-2025")</f>
        <v/>
      </c>
      <c r="Z6">
        <f>HYPERLINK("https://klasma.github.io/Logging_0761/klagomålsmail/A 52541-2025 FSC-klagomål mail.docx", "A 52541-2025")</f>
        <v/>
      </c>
      <c r="AA6">
        <f>HYPERLINK("https://klasma.github.io/Logging_0761/tillsyn/A 52541-2025 tillsynsbegäran.docx", "A 52541-2025")</f>
        <v/>
      </c>
      <c r="AB6">
        <f>HYPERLINK("https://klasma.github.io/Logging_0761/tillsynsmail/A 52541-2025 tillsynsbegäran mail.docx", "A 52541-2025")</f>
        <v/>
      </c>
      <c r="AC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46222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Tvåblad
Nattviol</t>
        </is>
      </c>
      <c r="V7">
        <f>HYPERLINK("https://klasma.github.io/Logging_0761/artfynd/A 62152-2023 artfynd.xlsx", "A 62152-2023")</f>
        <v/>
      </c>
      <c r="W7">
        <f>HYPERLINK("https://klasma.github.io/Logging_0761/kartor/A 62152-2023 karta.png", "A 62152-2023")</f>
        <v/>
      </c>
      <c r="Y7">
        <f>HYPERLINK("https://klasma.github.io/Logging_0761/klagomål/A 62152-2023 FSC-klagomål.docx", "A 62152-2023")</f>
        <v/>
      </c>
      <c r="Z7">
        <f>HYPERLINK("https://klasma.github.io/Logging_0761/klagomålsmail/A 62152-2023 FSC-klagomål mail.docx", "A 62152-2023")</f>
        <v/>
      </c>
      <c r="AA7">
        <f>HYPERLINK("https://klasma.github.io/Logging_0761/tillsyn/A 62152-2023 tillsynsbegäran.docx", "A 62152-2023")</f>
        <v/>
      </c>
      <c r="AB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46222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Talltita
Kungsfågel</t>
        </is>
      </c>
      <c r="V8">
        <f>HYPERLINK("https://klasma.github.io/Logging_0761/artfynd/A 25359-2026 artfynd.xlsx", "A 25359-2026")</f>
        <v/>
      </c>
      <c r="W8">
        <f>HYPERLINK("https://klasma.github.io/Logging_0761/kartor/A 25359-2026 karta.png", "A 25359-2026")</f>
        <v/>
      </c>
      <c r="Y8">
        <f>HYPERLINK("https://klasma.github.io/Logging_0761/klagomål/A 25359-2026 FSC-klagomål.docx", "A 25359-2026")</f>
        <v/>
      </c>
      <c r="Z8">
        <f>HYPERLINK("https://klasma.github.io/Logging_0761/klagomålsmail/A 25359-2026 FSC-klagomål mail.docx", "A 25359-2026")</f>
        <v/>
      </c>
      <c r="AA8">
        <f>HYPERLINK("https://klasma.github.io/Logging_0761/tillsyn/A 25359-2026 tillsynsbegäran.docx", "A 25359-2026")</f>
        <v/>
      </c>
      <c r="AB8">
        <f>HYPERLINK("https://klasma.github.io/Logging_0761/tillsynsmail/A 25359-2026 tillsynsbegäran mail.docx", "A 25359-2026")</f>
        <v/>
      </c>
      <c r="AC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46222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s="2" t="inlineStr">
        <is>
          <t>Borsttåg
Ängsstarr</t>
        </is>
      </c>
      <c r="V9">
        <f>HYPERLINK("https://klasma.github.io/Logging_0761/artfynd/S 1801-2023 artfynd.xlsx", "S 1801-2023")</f>
        <v/>
      </c>
      <c r="W9">
        <f>HYPERLINK("https://klasma.github.io/Logging_0761/kartor/S 1801-2023 karta.png", "S 1801-2023")</f>
        <v/>
      </c>
      <c r="Y9">
        <f>HYPERLINK("https://klasma.github.io/Logging_0761/klagomål/S 1801-2023 FSC-klagomål.docx", "S 1801-2023")</f>
        <v/>
      </c>
      <c r="Z9">
        <f>HYPERLINK("https://klasma.github.io/Logging_0761/klagomålsmail/S 1801-2023 FSC-klagomål mail.docx", "S 1801-2023")</f>
        <v/>
      </c>
      <c r="AA9">
        <f>HYPERLINK("https://klasma.github.io/Logging_0761/tillsyn/S 1801-2023 tillsynsbegäran.docx", "S 1801-2023")</f>
        <v/>
      </c>
      <c r="AB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46222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Lopplummer (aggregat)</t>
        </is>
      </c>
      <c r="V10">
        <f>HYPERLINK("https://klasma.github.io/Logging_0761/artfynd/A 12378-2022 artfynd.xlsx", "A 12378-2022")</f>
        <v/>
      </c>
      <c r="W10">
        <f>HYPERLINK("https://klasma.github.io/Logging_0761/kartor/A 12378-2022 karta.png", "A 12378-2022")</f>
        <v/>
      </c>
      <c r="Y10">
        <f>HYPERLINK("https://klasma.github.io/Logging_0761/klagomål/A 12378-2022 FSC-klagomål.docx", "A 12378-2022")</f>
        <v/>
      </c>
      <c r="Z10">
        <f>HYPERLINK("https://klasma.github.io/Logging_0761/klagomålsmail/A 12378-2022 FSC-klagomål mail.docx", "A 12378-2022")</f>
        <v/>
      </c>
      <c r="AA10">
        <f>HYPERLINK("https://klasma.github.io/Logging_0761/tillsyn/A 12378-2022 tillsynsbegäran.docx", "A 12378-2022")</f>
        <v/>
      </c>
      <c r="AB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46222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s="2" t="inlineStr">
        <is>
          <t>Kungsfågel</t>
        </is>
      </c>
      <c r="V11">
        <f>HYPERLINK("https://klasma.github.io/Logging_0761/artfynd/A 52540-2025 artfynd.xlsx", "A 52540-2025")</f>
        <v/>
      </c>
      <c r="W11">
        <f>HYPERLINK("https://klasma.github.io/Logging_0761/kartor/A 52540-2025 karta.png", "A 52540-2025")</f>
        <v/>
      </c>
      <c r="Y11">
        <f>HYPERLINK("https://klasma.github.io/Logging_0761/klagomål/A 52540-2025 FSC-klagomål.docx", "A 52540-2025")</f>
        <v/>
      </c>
      <c r="Z11">
        <f>HYPERLINK("https://klasma.github.io/Logging_0761/klagomålsmail/A 52540-2025 FSC-klagomål mail.docx", "A 52540-2025")</f>
        <v/>
      </c>
      <c r="AA11">
        <f>HYPERLINK("https://klasma.github.io/Logging_0761/tillsyn/A 52540-2025 tillsynsbegäran.docx", "A 52540-2025")</f>
        <v/>
      </c>
      <c r="AB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46222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Kungsfågel</t>
        </is>
      </c>
      <c r="V12">
        <f>HYPERLINK("https://klasma.github.io/Logging_0761/artfynd/A 52539-2025 artfynd.xlsx", "A 52539-2025")</f>
        <v/>
      </c>
      <c r="W12">
        <f>HYPERLINK("https://klasma.github.io/Logging_0761/kartor/A 52539-2025 karta.png", "A 52539-2025")</f>
        <v/>
      </c>
      <c r="Y12">
        <f>HYPERLINK("https://klasma.github.io/Logging_0761/klagomål/A 52539-2025 FSC-klagomål.docx", "A 52539-2025")</f>
        <v/>
      </c>
      <c r="Z12">
        <f>HYPERLINK("https://klasma.github.io/Logging_0761/klagomålsmail/A 52539-2025 FSC-klagomål mail.docx", "A 52539-2025")</f>
        <v/>
      </c>
      <c r="AA12">
        <f>HYPERLINK("https://klasma.github.io/Logging_0761/tillsyn/A 52539-2025 tillsynsbegäran.docx", "A 52539-2025")</f>
        <v/>
      </c>
      <c r="AB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46222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Korallrot</t>
        </is>
      </c>
      <c r="V13">
        <f>HYPERLINK("https://klasma.github.io/Logging_0761/artfynd/A 1488-2025 artfynd.xlsx", "A 1488-2025")</f>
        <v/>
      </c>
      <c r="W13">
        <f>HYPERLINK("https://klasma.github.io/Logging_0761/kartor/A 1488-2025 karta.png", "A 1488-2025")</f>
        <v/>
      </c>
      <c r="Y13">
        <f>HYPERLINK("https://klasma.github.io/Logging_0761/klagomål/A 1488-2025 FSC-klagomål.docx", "A 1488-2025")</f>
        <v/>
      </c>
      <c r="Z13">
        <f>HYPERLINK("https://klasma.github.io/Logging_0761/klagomålsmail/A 1488-2025 FSC-klagomål mail.docx", "A 1488-2025")</f>
        <v/>
      </c>
      <c r="AA13">
        <f>HYPERLINK("https://klasma.github.io/Logging_0761/tillsyn/A 1488-2025 tillsynsbegäran.docx", "A 1488-2025")</f>
        <v/>
      </c>
      <c r="AB13">
        <f>HYPERLINK("https://klasma.github.io/Logging_0761/tillsynsmail/A 1488-2025 tillsynsbegäran mail.docx", "A 1488-2025")</f>
        <v/>
      </c>
    </row>
    <row r="14" ht="15" customHeight="1">
      <c r="A14" t="inlineStr">
        <is>
          <t>A 37936-2021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44403</v>
      </c>
      <c r="E14" s="1" t="n">
        <v>46222</v>
      </c>
      <c r="F14" t="inlineStr">
        <is>
          <t>KRONOBERGS LÄN</t>
        </is>
      </c>
      <c r="G14" t="inlineStr">
        <is>
          <t>LESSEBO</t>
        </is>
      </c>
      <c r="I14" t="n">
        <v>6.2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Knärot</t>
        </is>
      </c>
      <c r="V14">
        <f>HYPERLINK("https://klasma.github.io/Logging_0761/artfynd/A 37936-2021 artfynd.xlsx", "A 37936-2021")</f>
        <v/>
      </c>
      <c r="W14">
        <f>HYPERLINK("https://klasma.github.io/Logging_0761/kartor/A 37936-2021 karta.png", "A 37936-2021")</f>
        <v/>
      </c>
      <c r="X14">
        <f>HYPERLINK("https://klasma.github.io/Logging_0761/knärot/A 37936-2021 karta knärot.png", "A 37936-2021")</f>
        <v/>
      </c>
      <c r="Y14">
        <f>HYPERLINK("https://klasma.github.io/Logging_0761/klagomål/A 37936-2021 FSC-klagomål.docx", "A 37936-2021")</f>
        <v/>
      </c>
      <c r="Z14">
        <f>HYPERLINK("https://klasma.github.io/Logging_0761/klagomålsmail/A 37936-2021 FSC-klagomål mail.docx", "A 37936-2021")</f>
        <v/>
      </c>
      <c r="AA14">
        <f>HYPERLINK("https://klasma.github.io/Logging_0761/tillsyn/A 37936-2021 tillsynsbegäran.docx", "A 37936-2021")</f>
        <v/>
      </c>
      <c r="AB14">
        <f>HYPERLINK("https://klasma.github.io/Logging_0761/tillsynsmail/A 37936-2021 tillsynsbegäran mail.docx", "A 37936-2021")</f>
        <v/>
      </c>
    </row>
    <row r="15" ht="15" customHeight="1">
      <c r="A15" t="inlineStr">
        <is>
          <t>A 56472-2024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45625</v>
      </c>
      <c r="E15" s="1" t="n">
        <v>46222</v>
      </c>
      <c r="F15" t="inlineStr">
        <is>
          <t>KRONOBERGS LÄN</t>
        </is>
      </c>
      <c r="G15" t="inlineStr">
        <is>
          <t>LESSEBO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Fläcknycklar</t>
        </is>
      </c>
      <c r="V15">
        <f>HYPERLINK("https://klasma.github.io/Logging_0761/artfynd/A 56472-2024 artfynd.xlsx", "A 56472-2024")</f>
        <v/>
      </c>
      <c r="W15">
        <f>HYPERLINK("https://klasma.github.io/Logging_0761/kartor/A 56472-2024 karta.png", "A 56472-2024")</f>
        <v/>
      </c>
      <c r="Y15">
        <f>HYPERLINK("https://klasma.github.io/Logging_0761/klagomål/A 56472-2024 FSC-klagomål.docx", "A 56472-2024")</f>
        <v/>
      </c>
      <c r="Z15">
        <f>HYPERLINK("https://klasma.github.io/Logging_0761/klagomålsmail/A 56472-2024 FSC-klagomål mail.docx", "A 56472-2024")</f>
        <v/>
      </c>
      <c r="AA15">
        <f>HYPERLINK("https://klasma.github.io/Logging_0761/tillsyn/A 56472-2024 tillsynsbegäran.docx", "A 56472-2024")</f>
        <v/>
      </c>
      <c r="AB15">
        <f>HYPERLINK("https://klasma.github.io/Logging_0761/tillsynsmail/A 56472-2024 tillsynsbegäran mail.docx", "A 56472-2024")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46222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Fläcknycklar</t>
        </is>
      </c>
      <c r="V16">
        <f>HYPERLINK("https://klasma.github.io/Logging_0761/artfynd/S 313-2025 artfynd.xlsx", "S 313-2025")</f>
        <v/>
      </c>
      <c r="W16">
        <f>HYPERLINK("https://klasma.github.io/Logging_0761/kartor/S 313-2025 karta.png", "S 313-2025")</f>
        <v/>
      </c>
      <c r="Y16">
        <f>HYPERLINK("https://klasma.github.io/Logging_0761/klagomål/S 313-2025 FSC-klagomål.docx", "S 313-2025")</f>
        <v/>
      </c>
      <c r="Z16">
        <f>HYPERLINK("https://klasma.github.io/Logging_0761/klagomålsmail/S 313-2025 FSC-klagomål mail.docx", "S 313-2025")</f>
        <v/>
      </c>
      <c r="AA16">
        <f>HYPERLINK("https://klasma.github.io/Logging_0761/tillsyn/S 313-2025 tillsynsbegäran.docx", "S 313-2025")</f>
        <v/>
      </c>
      <c r="AB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46222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Slåttergubbe</t>
        </is>
      </c>
      <c r="V17">
        <f>HYPERLINK("https://klasma.github.io/Logging_0761/artfynd/S 2864-2025 artfynd.xlsx", "S 2864-2025")</f>
        <v/>
      </c>
      <c r="W17">
        <f>HYPERLINK("https://klasma.github.io/Logging_0761/kartor/S 2864-2025 karta.png", "S 2864-2025")</f>
        <v/>
      </c>
      <c r="Y17">
        <f>HYPERLINK("https://klasma.github.io/Logging_0761/klagomål/S 2864-2025 FSC-klagomål.docx", "S 2864-2025")</f>
        <v/>
      </c>
      <c r="Z17">
        <f>HYPERLINK("https://klasma.github.io/Logging_0761/klagomålsmail/S 2864-2025 FSC-klagomål mail.docx", "S 2864-2025")</f>
        <v/>
      </c>
      <c r="AA17">
        <f>HYPERLINK("https://klasma.github.io/Logging_0761/tillsyn/S 2864-2025 tillsynsbegäran.docx", "S 2864-2025")</f>
        <v/>
      </c>
      <c r="AB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46222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Korallrot</t>
        </is>
      </c>
      <c r="V18">
        <f>HYPERLINK("https://klasma.github.io/Logging_0761/artfynd/S 1978-2026 artfynd.xlsx", "S 1978-2026")</f>
        <v/>
      </c>
      <c r="W18">
        <f>HYPERLINK("https://klasma.github.io/Logging_0761/kartor/S 1978-2026 karta.png", "S 1978-2026")</f>
        <v/>
      </c>
      <c r="X18">
        <f>HYPERLINK("https://klasma.github.io/Logging_0761/knärot/S 1978-2026 karta knärot.png", "S 1978-2026")</f>
        <v/>
      </c>
      <c r="Y18">
        <f>HYPERLINK("https://klasma.github.io/Logging_0761/klagomål/S 1978-2026 FSC-klagomål.docx", "S 1978-2026")</f>
        <v/>
      </c>
      <c r="Z18">
        <f>HYPERLINK("https://klasma.github.io/Logging_0761/klagomålsmail/S 1978-2026 FSC-klagomål mail.docx", "S 1978-2026")</f>
        <v/>
      </c>
      <c r="AA18">
        <f>HYPERLINK("https://klasma.github.io/Logging_0761/tillsyn/S 1978-2026 tillsynsbegäran.docx", "S 1978-2026")</f>
        <v/>
      </c>
      <c r="AB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46222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46222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46222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46222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46222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46222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46222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46222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3741-2022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46222</v>
      </c>
      <c r="F27" t="inlineStr">
        <is>
          <t>KRONOBERGS LÄN</t>
        </is>
      </c>
      <c r="G27" t="inlineStr">
        <is>
          <t>LESSEBO</t>
        </is>
      </c>
      <c r="H27" t="inlineStr">
        <is>
          <t>Kommuner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24680-2022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44727</v>
      </c>
      <c r="E28" s="1" t="n">
        <v>46222</v>
      </c>
      <c r="F28" t="inlineStr">
        <is>
          <t>KRONOBERGS LÄN</t>
        </is>
      </c>
      <c r="G28" t="inlineStr">
        <is>
          <t>LESSEBO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46222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46222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46222</v>
      </c>
      <c r="F31" t="inlineStr">
        <is>
          <t>KRONOBERGS LÄN</t>
        </is>
      </c>
      <c r="G31" t="inlineStr">
        <is>
          <t>LESSEBO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46222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46222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59408-2021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46222</v>
      </c>
      <c r="F34" t="inlineStr">
        <is>
          <t>KRONOBERGS LÄN</t>
        </is>
      </c>
      <c r="G34" t="inlineStr">
        <is>
          <t>LESSEBO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48116-2021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46222</v>
      </c>
      <c r="F35" t="inlineStr">
        <is>
          <t>KRONOBERGS LÄN</t>
        </is>
      </c>
      <c r="G35" t="inlineStr">
        <is>
          <t>LESSEBO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41619-2021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44425</v>
      </c>
      <c r="E36" s="1" t="n">
        <v>46222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46222</v>
      </c>
      <c r="F37" t="inlineStr">
        <is>
          <t>KRONOBERGS LÄN</t>
        </is>
      </c>
      <c r="G37" t="inlineStr">
        <is>
          <t>LESSEBO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19495-2022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46222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63330-2021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46222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46222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46222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27794-2022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46222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46909-2021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46222</v>
      </c>
      <c r="F43" t="inlineStr">
        <is>
          <t>KRONOBERGS LÄN</t>
        </is>
      </c>
      <c r="G43" t="inlineStr">
        <is>
          <t>LESSEBO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46222</v>
      </c>
      <c r="F44" t="inlineStr">
        <is>
          <t>KRONOBERGS LÄN</t>
        </is>
      </c>
      <c r="G44" t="inlineStr">
        <is>
          <t>LESSEBO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3876-2024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46222</v>
      </c>
      <c r="F45" t="inlineStr">
        <is>
          <t>KRONOBERGS LÄN</t>
        </is>
      </c>
      <c r="G45" t="inlineStr">
        <is>
          <t>LESSEBO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27080-2022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44741</v>
      </c>
      <c r="E46" s="1" t="n">
        <v>46222</v>
      </c>
      <c r="F46" t="inlineStr">
        <is>
          <t>KRONOBERGS LÄN</t>
        </is>
      </c>
      <c r="G46" t="inlineStr">
        <is>
          <t>LESSEBO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27713-2022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44743</v>
      </c>
      <c r="E47" s="1" t="n">
        <v>46222</v>
      </c>
      <c r="F47" t="inlineStr">
        <is>
          <t>KRONOBERGS LÄN</t>
        </is>
      </c>
      <c r="G47" t="inlineStr">
        <is>
          <t>LESSEBO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11843-2024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45376</v>
      </c>
      <c r="E48" s="1" t="n">
        <v>46222</v>
      </c>
      <c r="F48" t="inlineStr">
        <is>
          <t>KRONOBERGS LÄN</t>
        </is>
      </c>
      <c r="G48" t="inlineStr">
        <is>
          <t>LESSEBO</t>
        </is>
      </c>
      <c r="H48" t="inlineStr">
        <is>
          <t>Kommuner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51189-2023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46222</v>
      </c>
      <c r="F49" t="inlineStr">
        <is>
          <t>KRONOBERGS LÄN</t>
        </is>
      </c>
      <c r="G49" t="inlineStr">
        <is>
          <t>LESSEBO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20480-2025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45775</v>
      </c>
      <c r="E50" s="1" t="n">
        <v>46222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59173-2023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46222</v>
      </c>
      <c r="F51" t="inlineStr">
        <is>
          <t>KRONOBERGS LÄN</t>
        </is>
      </c>
      <c r="G51" t="inlineStr">
        <is>
          <t>LESSEBO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24171-2024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45456</v>
      </c>
      <c r="E52" s="1" t="n">
        <v>46222</v>
      </c>
      <c r="F52" t="inlineStr">
        <is>
          <t>KRONOBERGS LÄN</t>
        </is>
      </c>
      <c r="G52" t="inlineStr">
        <is>
          <t>LESSEBO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24478-2024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45459</v>
      </c>
      <c r="E53" s="1" t="n">
        <v>46222</v>
      </c>
      <c r="F53" t="inlineStr">
        <is>
          <t>KRONOBERGS LÄN</t>
        </is>
      </c>
      <c r="G53" t="inlineStr">
        <is>
          <t>LESSEBO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64635-2023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45281</v>
      </c>
      <c r="E54" s="1" t="n">
        <v>46222</v>
      </c>
      <c r="F54" t="inlineStr">
        <is>
          <t>KRONOBERGS LÄN</t>
        </is>
      </c>
      <c r="G54" t="inlineStr">
        <is>
          <t>LESSEBO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57519-2022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44896</v>
      </c>
      <c r="E55" s="1" t="n">
        <v>46222</v>
      </c>
      <c r="F55" t="inlineStr">
        <is>
          <t>KRONOBERGS LÄN</t>
        </is>
      </c>
      <c r="G55" t="inlineStr">
        <is>
          <t>LESSEBO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18968-2024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45427</v>
      </c>
      <c r="E56" s="1" t="n">
        <v>46222</v>
      </c>
      <c r="F56" t="inlineStr">
        <is>
          <t>KRONOBERGS LÄN</t>
        </is>
      </c>
      <c r="G56" t="inlineStr">
        <is>
          <t>LESSEBO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56529-2022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46222</v>
      </c>
      <c r="F57" t="inlineStr">
        <is>
          <t>KRONOBERGS LÄN</t>
        </is>
      </c>
      <c r="G57" t="inlineStr">
        <is>
          <t>LESSEBO</t>
        </is>
      </c>
      <c r="I57" t="n">
        <v>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38227-2023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46222</v>
      </c>
      <c r="F58" t="inlineStr">
        <is>
          <t>KRONOBERGS LÄN</t>
        </is>
      </c>
      <c r="G58" t="inlineStr">
        <is>
          <t>LESSEBO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8173-2025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45708</v>
      </c>
      <c r="E59" s="1" t="n">
        <v>46222</v>
      </c>
      <c r="F59" t="inlineStr">
        <is>
          <t>KRONOBERGS LÄN</t>
        </is>
      </c>
      <c r="G59" t="inlineStr">
        <is>
          <t>LESSEBO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20541-2024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45436</v>
      </c>
      <c r="E60" s="1" t="n">
        <v>46222</v>
      </c>
      <c r="F60" t="inlineStr">
        <is>
          <t>KRONOBERGS LÄN</t>
        </is>
      </c>
      <c r="G60" t="inlineStr">
        <is>
          <t>LESSEBO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46222</v>
      </c>
      <c r="F61" t="inlineStr">
        <is>
          <t>KRONOBERGS LÄN</t>
        </is>
      </c>
      <c r="G61" t="inlineStr">
        <is>
          <t>LESSEBO</t>
        </is>
      </c>
      <c r="H61" t="inlineStr">
        <is>
          <t>Kommuner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33240-2024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45518</v>
      </c>
      <c r="E62" s="1" t="n">
        <v>46222</v>
      </c>
      <c r="F62" t="inlineStr">
        <is>
          <t>KRONOBERGS LÄN</t>
        </is>
      </c>
      <c r="G62" t="inlineStr">
        <is>
          <t>LESSEBO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39389-2024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45551</v>
      </c>
      <c r="E63" s="1" t="n">
        <v>46222</v>
      </c>
      <c r="F63" t="inlineStr">
        <is>
          <t>KRONOBERGS LÄN</t>
        </is>
      </c>
      <c r="G63" t="inlineStr">
        <is>
          <t>LESSEBO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60358-2022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46222</v>
      </c>
      <c r="F64" t="inlineStr">
        <is>
          <t>KRONOBERGS LÄN</t>
        </is>
      </c>
      <c r="G64" t="inlineStr">
        <is>
          <t>LESSEBO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20478-2025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45775</v>
      </c>
      <c r="E65" s="1" t="n">
        <v>46222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4229-2026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46222</v>
      </c>
      <c r="F66" t="inlineStr">
        <is>
          <t>KRONOBERGS LÄN</t>
        </is>
      </c>
      <c r="G66" t="inlineStr">
        <is>
          <t>LESSEBO</t>
        </is>
      </c>
      <c r="I66" t="n">
        <v>9.699999999999999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39549-2025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46222</v>
      </c>
      <c r="F67" t="inlineStr">
        <is>
          <t>KRONOBERGS LÄN</t>
        </is>
      </c>
      <c r="G67" t="inlineStr">
        <is>
          <t>LESSEBO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20851-2025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46222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61575-2022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44916</v>
      </c>
      <c r="E69" s="1" t="n">
        <v>46222</v>
      </c>
      <c r="F69" t="inlineStr">
        <is>
          <t>KRONOBERGS LÄN</t>
        </is>
      </c>
      <c r="G69" t="inlineStr">
        <is>
          <t>LESSEBO</t>
        </is>
      </c>
      <c r="H69" t="inlineStr">
        <is>
          <t>Kommuner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61588-2022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44916</v>
      </c>
      <c r="E70" s="1" t="n">
        <v>46222</v>
      </c>
      <c r="F70" t="inlineStr">
        <is>
          <t>KRONOBERGS LÄN</t>
        </is>
      </c>
      <c r="G70" t="inlineStr">
        <is>
          <t>LESSEBO</t>
        </is>
      </c>
      <c r="H70" t="inlineStr">
        <is>
          <t>Kommuner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43453-2024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45568</v>
      </c>
      <c r="E71" s="1" t="n">
        <v>46222</v>
      </c>
      <c r="F71" t="inlineStr">
        <is>
          <t>KRONOBERGS LÄN</t>
        </is>
      </c>
      <c r="G71" t="inlineStr">
        <is>
          <t>LESSEBO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39750-2025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45891</v>
      </c>
      <c r="E72" s="1" t="n">
        <v>46222</v>
      </c>
      <c r="F72" t="inlineStr">
        <is>
          <t>KRONOBERGS LÄN</t>
        </is>
      </c>
      <c r="G72" t="inlineStr">
        <is>
          <t>LESSEBO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39884-2025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45891</v>
      </c>
      <c r="E73" s="1" t="n">
        <v>46222</v>
      </c>
      <c r="F73" t="inlineStr">
        <is>
          <t>KRONOBERGS LÄN</t>
        </is>
      </c>
      <c r="G73" t="inlineStr">
        <is>
          <t>LESSEBO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29659-2025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45825</v>
      </c>
      <c r="E74" s="1" t="n">
        <v>46222</v>
      </c>
      <c r="F74" t="inlineStr">
        <is>
          <t>KRONOBERGS LÄN</t>
        </is>
      </c>
      <c r="G74" t="inlineStr">
        <is>
          <t>LESSEBO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20854-2025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45777</v>
      </c>
      <c r="E75" s="1" t="n">
        <v>46222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47396-2024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46222</v>
      </c>
      <c r="F76" t="inlineStr">
        <is>
          <t>KRONOBERGS LÄN</t>
        </is>
      </c>
      <c r="G76" t="inlineStr">
        <is>
          <t>LESSEBO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20853-2025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45777</v>
      </c>
      <c r="E77" s="1" t="n">
        <v>46222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46222</v>
      </c>
      <c r="F78" t="inlineStr">
        <is>
          <t>KRONOBERGS LÄN</t>
        </is>
      </c>
      <c r="G78" t="inlineStr">
        <is>
          <t>LESSEBO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7957-2023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44973</v>
      </c>
      <c r="E79" s="1" t="n">
        <v>46222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35904-2025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45862</v>
      </c>
      <c r="E80" s="1" t="n">
        <v>46222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30527-2025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46222</v>
      </c>
      <c r="F81" t="inlineStr">
        <is>
          <t>KRONOBERGS LÄN</t>
        </is>
      </c>
      <c r="G81" t="inlineStr">
        <is>
          <t>LESSEBO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47386-2024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45587</v>
      </c>
      <c r="E82" s="1" t="n">
        <v>46222</v>
      </c>
      <c r="F82" t="inlineStr">
        <is>
          <t>KRONOBERGS LÄN</t>
        </is>
      </c>
      <c r="G82" t="inlineStr">
        <is>
          <t>LESSEBO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37399-2024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45540</v>
      </c>
      <c r="E83" s="1" t="n">
        <v>46222</v>
      </c>
      <c r="F83" t="inlineStr">
        <is>
          <t>KRONOBERGS LÄN</t>
        </is>
      </c>
      <c r="G83" t="inlineStr">
        <is>
          <t>LESSEBO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43809-2025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46222</v>
      </c>
      <c r="F84" t="inlineStr">
        <is>
          <t>KRONOBERGS LÄN</t>
        </is>
      </c>
      <c r="G84" t="inlineStr">
        <is>
          <t>LESSEBO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32712-2025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45839</v>
      </c>
      <c r="E85" s="1" t="n">
        <v>46222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51175-2023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46222</v>
      </c>
      <c r="F86" t="inlineStr">
        <is>
          <t>KRONOBERGS LÄN</t>
        </is>
      </c>
      <c r="G86" t="inlineStr">
        <is>
          <t>LESSEBO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44904-2025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46222</v>
      </c>
      <c r="F87" t="inlineStr">
        <is>
          <t>KRONOBERGS LÄN</t>
        </is>
      </c>
      <c r="G87" t="inlineStr">
        <is>
          <t>LESSEBO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44899-2025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46222</v>
      </c>
      <c r="F88" t="inlineStr">
        <is>
          <t>KRONOBERGS LÄN</t>
        </is>
      </c>
      <c r="G88" t="inlineStr">
        <is>
          <t>LESSEBO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14584-2023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45013</v>
      </c>
      <c r="E89" s="1" t="n">
        <v>46222</v>
      </c>
      <c r="F89" t="inlineStr">
        <is>
          <t>KRONOBERGS LÄN</t>
        </is>
      </c>
      <c r="G89" t="inlineStr">
        <is>
          <t>LESSEBO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35909-2025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45862</v>
      </c>
      <c r="E90" s="1" t="n">
        <v>46222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29767-2023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45107</v>
      </c>
      <c r="E91" s="1" t="n">
        <v>46222</v>
      </c>
      <c r="F91" t="inlineStr">
        <is>
          <t>KRONOBERGS LÄN</t>
        </is>
      </c>
      <c r="G91" t="inlineStr">
        <is>
          <t>LESSEBO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35899-2025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45862</v>
      </c>
      <c r="E92" s="1" t="n">
        <v>46222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19501-2022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46222</v>
      </c>
      <c r="F93" t="inlineStr">
        <is>
          <t>KRONOBERGS LÄN</t>
        </is>
      </c>
      <c r="G93" t="inlineStr">
        <is>
          <t>LESSEBO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48429-2025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46222</v>
      </c>
      <c r="F94" t="inlineStr">
        <is>
          <t>KRONOBERGS LÄN</t>
        </is>
      </c>
      <c r="G94" t="inlineStr">
        <is>
          <t>LESSEBO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48433-2025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46222</v>
      </c>
      <c r="F95" t="inlineStr">
        <is>
          <t>KRONOBERGS LÄN</t>
        </is>
      </c>
      <c r="G95" t="inlineStr">
        <is>
          <t>LESSEBO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51191-2023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46222</v>
      </c>
      <c r="F96" t="inlineStr">
        <is>
          <t>KRONOBERGS LÄN</t>
        </is>
      </c>
      <c r="G96" t="inlineStr">
        <is>
          <t>LESSEBO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17729-2025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45758</v>
      </c>
      <c r="E97" s="1" t="n">
        <v>46222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52525-2023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45225</v>
      </c>
      <c r="E98" s="1" t="n">
        <v>46222</v>
      </c>
      <c r="F98" t="inlineStr">
        <is>
          <t>KRONOBERGS LÄN</t>
        </is>
      </c>
      <c r="G98" t="inlineStr">
        <is>
          <t>LESSEBO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20443-2025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45775</v>
      </c>
      <c r="E99" s="1" t="n">
        <v>46222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49298-2025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46222</v>
      </c>
      <c r="F100" t="inlineStr">
        <is>
          <t>KRONOBERGS LÄN</t>
        </is>
      </c>
      <c r="G100" t="inlineStr">
        <is>
          <t>LESSEBO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17517-2023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45036</v>
      </c>
      <c r="E101" s="1" t="n">
        <v>46222</v>
      </c>
      <c r="F101" t="inlineStr">
        <is>
          <t>KRONOBERGS LÄN</t>
        </is>
      </c>
      <c r="G101" t="inlineStr">
        <is>
          <t>LESSEBO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1367-2023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44936</v>
      </c>
      <c r="E102" s="1" t="n">
        <v>46222</v>
      </c>
      <c r="F102" t="inlineStr">
        <is>
          <t>KRONOBERGS LÄN</t>
        </is>
      </c>
      <c r="G102" t="inlineStr">
        <is>
          <t>LESSEBO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4107-2025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45684</v>
      </c>
      <c r="E103" s="1" t="n">
        <v>46222</v>
      </c>
      <c r="F103" t="inlineStr">
        <is>
          <t>KRONOBERGS LÄN</t>
        </is>
      </c>
      <c r="G103" t="inlineStr">
        <is>
          <t>LESSEBO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10047-2024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45364</v>
      </c>
      <c r="E104" s="1" t="n">
        <v>46222</v>
      </c>
      <c r="F104" t="inlineStr">
        <is>
          <t>KRONOBERGS LÄN</t>
        </is>
      </c>
      <c r="G104" t="inlineStr">
        <is>
          <t>LESSEBO</t>
        </is>
      </c>
      <c r="H104" t="inlineStr">
        <is>
          <t>Övriga Aktiebolag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8174-2025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45708</v>
      </c>
      <c r="E105" s="1" t="n">
        <v>46222</v>
      </c>
      <c r="F105" t="inlineStr">
        <is>
          <t>KRONOBERGS LÄN</t>
        </is>
      </c>
      <c r="G105" t="inlineStr">
        <is>
          <t>LESSEBO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52031-2025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46222</v>
      </c>
      <c r="F106" t="inlineStr">
        <is>
          <t>KRONOBERGS LÄN</t>
        </is>
      </c>
      <c r="G106" t="inlineStr">
        <is>
          <t>LESSEBO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52537-2025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46222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52531-2025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46222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52532-2025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46222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52546-2025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46222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52534-2025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46222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53122-2025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46222</v>
      </c>
      <c r="F112" t="inlineStr">
        <is>
          <t>KRONOBERGS LÄN</t>
        </is>
      </c>
      <c r="G112" t="inlineStr">
        <is>
          <t>LESSEBO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8438-2026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46065</v>
      </c>
      <c r="E113" s="1" t="n">
        <v>46222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37933-2021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46222</v>
      </c>
      <c r="F114" t="inlineStr">
        <is>
          <t>KRONOBERGS LÄN</t>
        </is>
      </c>
      <c r="G114" t="inlineStr">
        <is>
          <t>LESSEBO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53522-2025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46222</v>
      </c>
      <c r="F115" t="inlineStr">
        <is>
          <t>KRONOBERGS LÄN</t>
        </is>
      </c>
      <c r="G115" t="inlineStr">
        <is>
          <t>LESSEBO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53571-2025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45960</v>
      </c>
      <c r="E116" s="1" t="n">
        <v>46222</v>
      </c>
      <c r="F116" t="inlineStr">
        <is>
          <t>KRONOBERGS LÄN</t>
        </is>
      </c>
      <c r="G116" t="inlineStr">
        <is>
          <t>LESSEBO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10286-2026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46076</v>
      </c>
      <c r="E117" s="1" t="n">
        <v>46222</v>
      </c>
      <c r="F117" t="inlineStr">
        <is>
          <t>KRONOBERGS LÄN</t>
        </is>
      </c>
      <c r="G117" t="inlineStr">
        <is>
          <t>LESSEBO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63927-2021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46222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10185-2026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46076</v>
      </c>
      <c r="E119" s="1" t="n">
        <v>46222</v>
      </c>
      <c r="F119" t="inlineStr">
        <is>
          <t>KRONOBERGS LÄN</t>
        </is>
      </c>
      <c r="G119" t="inlineStr">
        <is>
          <t>LESSEBO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49295-2025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46222</v>
      </c>
      <c r="F120" t="inlineStr">
        <is>
          <t>KRONOBERGS LÄN</t>
        </is>
      </c>
      <c r="G120" t="inlineStr">
        <is>
          <t>LESSEBO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10189-2026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46076</v>
      </c>
      <c r="E121" s="1" t="n">
        <v>46222</v>
      </c>
      <c r="F121" t="inlineStr">
        <is>
          <t>KRONOBERGS LÄN</t>
        </is>
      </c>
      <c r="G121" t="inlineStr">
        <is>
          <t>LESSEBO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8655-2025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45710</v>
      </c>
      <c r="E122" s="1" t="n">
        <v>46222</v>
      </c>
      <c r="F122" t="inlineStr">
        <is>
          <t>KRONOBERGS LÄN</t>
        </is>
      </c>
      <c r="G122" t="inlineStr">
        <is>
          <t>LESSEBO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41900-2022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46222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22432-2023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45070</v>
      </c>
      <c r="E124" s="1" t="n">
        <v>46222</v>
      </c>
      <c r="F124" t="inlineStr">
        <is>
          <t>KRONOBERGS LÄN</t>
        </is>
      </c>
      <c r="G124" t="inlineStr">
        <is>
          <t>LESSEBO</t>
        </is>
      </c>
      <c r="H124" t="inlineStr">
        <is>
          <t>Kommuner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17552-2023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45036</v>
      </c>
      <c r="E125" s="1" t="n">
        <v>46222</v>
      </c>
      <c r="F125" t="inlineStr">
        <is>
          <t>KRONOBERGS LÄN</t>
        </is>
      </c>
      <c r="G125" t="inlineStr">
        <is>
          <t>LESSEBO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13751-2025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45737</v>
      </c>
      <c r="E126" s="1" t="n">
        <v>46222</v>
      </c>
      <c r="F126" t="inlineStr">
        <is>
          <t>KRONOBERGS LÄN</t>
        </is>
      </c>
      <c r="G126" t="inlineStr">
        <is>
          <t>LESSEBO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30405-2023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46222</v>
      </c>
      <c r="F127" t="inlineStr">
        <is>
          <t>KRONOBERGS LÄN</t>
        </is>
      </c>
      <c r="G127" t="inlineStr">
        <is>
          <t>LESSEBO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13347-2026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46094</v>
      </c>
      <c r="E128" s="1" t="n">
        <v>46222</v>
      </c>
      <c r="F128" t="inlineStr">
        <is>
          <t>KRONOBERGS LÄN</t>
        </is>
      </c>
      <c r="G128" t="inlineStr">
        <is>
          <t>LESSEBO</t>
        </is>
      </c>
      <c r="H128" t="inlineStr">
        <is>
          <t>Kommuner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46222</v>
      </c>
      <c r="F129" t="inlineStr">
        <is>
          <t>KRONOBERGS LÄN</t>
        </is>
      </c>
      <c r="G129" t="inlineStr">
        <is>
          <t>LESSEBO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45838-2022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44846</v>
      </c>
      <c r="E130" s="1" t="n">
        <v>46222</v>
      </c>
      <c r="F130" t="inlineStr">
        <is>
          <t>KRONOBERGS LÄN</t>
        </is>
      </c>
      <c r="G130" t="inlineStr">
        <is>
          <t>LESSEBO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61638-2025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46222</v>
      </c>
      <c r="F131" t="inlineStr">
        <is>
          <t>KRONOBERGS LÄN</t>
        </is>
      </c>
      <c r="G131" t="inlineStr">
        <is>
          <t>LESSEBO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61641-2025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46222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20824-2023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46222</v>
      </c>
      <c r="F133" t="inlineStr">
        <is>
          <t>KRONOBERGS LÄN</t>
        </is>
      </c>
      <c r="G133" t="inlineStr">
        <is>
          <t>LESSEBO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30600-2024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45493</v>
      </c>
      <c r="E134" s="1" t="n">
        <v>46222</v>
      </c>
      <c r="F134" t="inlineStr">
        <is>
          <t>KRONOBERGS LÄN</t>
        </is>
      </c>
      <c r="G134" t="inlineStr">
        <is>
          <t>LESSEBO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62728-2025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46008</v>
      </c>
      <c r="E135" s="1" t="n">
        <v>46222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15864-2022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44664</v>
      </c>
      <c r="E136" s="1" t="n">
        <v>46222</v>
      </c>
      <c r="F136" t="inlineStr">
        <is>
          <t>KRONOBERGS LÄN</t>
        </is>
      </c>
      <c r="G136" t="inlineStr">
        <is>
          <t>LESSEBO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642-2024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45299</v>
      </c>
      <c r="E137" s="1" t="n">
        <v>46222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1022-2026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46222</v>
      </c>
      <c r="F138" t="inlineStr">
        <is>
          <t>KRONOBERGS LÄN</t>
        </is>
      </c>
      <c r="G138" t="inlineStr">
        <is>
          <t>LESSEBO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1016-2026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46030</v>
      </c>
      <c r="E139" s="1" t="n">
        <v>46222</v>
      </c>
      <c r="F139" t="inlineStr">
        <is>
          <t>KRONOBERGS LÄN</t>
        </is>
      </c>
      <c r="G139" t="inlineStr">
        <is>
          <t>LESSEBO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47402-2024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45587</v>
      </c>
      <c r="E140" s="1" t="n">
        <v>46222</v>
      </c>
      <c r="F140" t="inlineStr">
        <is>
          <t>KRONOBERGS LÄN</t>
        </is>
      </c>
      <c r="G140" t="inlineStr">
        <is>
          <t>LESSEBO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50154-2022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46222</v>
      </c>
      <c r="F141" t="inlineStr">
        <is>
          <t>KRONOBERGS LÄN</t>
        </is>
      </c>
      <c r="G141" t="inlineStr">
        <is>
          <t>LESSEBO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64865-2023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45282</v>
      </c>
      <c r="E142" s="1" t="n">
        <v>46222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34386-2023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45139</v>
      </c>
      <c r="E143" s="1" t="n">
        <v>46222</v>
      </c>
      <c r="F143" t="inlineStr">
        <is>
          <t>KRONOBERGS LÄN</t>
        </is>
      </c>
      <c r="G143" t="inlineStr">
        <is>
          <t>LESSEBO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17350-2023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45035</v>
      </c>
      <c r="E144" s="1" t="n">
        <v>46222</v>
      </c>
      <c r="F144" t="inlineStr">
        <is>
          <t>KRONOBERGS LÄN</t>
        </is>
      </c>
      <c r="G144" t="inlineStr">
        <is>
          <t>LESSEBO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14940-2024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45398</v>
      </c>
      <c r="E145" s="1" t="n">
        <v>46222</v>
      </c>
      <c r="F145" t="inlineStr">
        <is>
          <t>KRONOBERGS LÄN</t>
        </is>
      </c>
      <c r="G145" t="inlineStr">
        <is>
          <t>LESSEBO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17836-2023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45037</v>
      </c>
      <c r="E146" s="1" t="n">
        <v>46222</v>
      </c>
      <c r="F146" t="inlineStr">
        <is>
          <t>KRONOBERGS LÄN</t>
        </is>
      </c>
      <c r="G146" t="inlineStr">
        <is>
          <t>LESSEBO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18464-2026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46127</v>
      </c>
      <c r="E147" s="1" t="n">
        <v>46222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14.2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18466-2026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46127</v>
      </c>
      <c r="E148" s="1" t="n">
        <v>46222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65137-2023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45288</v>
      </c>
      <c r="E149" s="1" t="n">
        <v>46222</v>
      </c>
      <c r="F149" t="inlineStr">
        <is>
          <t>KRONOBERGS LÄN</t>
        </is>
      </c>
      <c r="G149" t="inlineStr">
        <is>
          <t>LESSEBO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18625-2026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46127</v>
      </c>
      <c r="E150" s="1" t="n">
        <v>46222</v>
      </c>
      <c r="F150" t="inlineStr">
        <is>
          <t>KRONOBERGS LÄN</t>
        </is>
      </c>
      <c r="G150" t="inlineStr">
        <is>
          <t>LESSEBO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43114-2024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45567</v>
      </c>
      <c r="E151" s="1" t="n">
        <v>46222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44589</v>
      </c>
      <c r="E152" s="1" t="n">
        <v>46222</v>
      </c>
      <c r="F152" t="inlineStr">
        <is>
          <t>KRONOBERGS LÄN</t>
        </is>
      </c>
      <c r="G152" t="inlineStr">
        <is>
          <t>LESSEBO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45327</v>
      </c>
      <c r="E153" s="1" t="n">
        <v>46222</v>
      </c>
      <c r="F153" t="inlineStr">
        <is>
          <t>KRONOBERGS LÄN</t>
        </is>
      </c>
      <c r="G153" t="inlineStr">
        <is>
          <t>LESSEBO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21917-2025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45784</v>
      </c>
      <c r="E154" s="1" t="n">
        <v>46222</v>
      </c>
      <c r="F154" t="inlineStr">
        <is>
          <t>KRONOBERGS LÄN</t>
        </is>
      </c>
      <c r="G154" t="inlineStr">
        <is>
          <t>LESSEBO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20855-2025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45777</v>
      </c>
      <c r="E155" s="1" t="n">
        <v>46222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33076-2023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45126</v>
      </c>
      <c r="E156" s="1" t="n">
        <v>46222</v>
      </c>
      <c r="F156" t="inlineStr">
        <is>
          <t>KRONOBERGS LÄN</t>
        </is>
      </c>
      <c r="G156" t="inlineStr">
        <is>
          <t>LESSEBO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70350-2021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46222</v>
      </c>
      <c r="F157" t="inlineStr">
        <is>
          <t>KRONOBERGS LÄN</t>
        </is>
      </c>
      <c r="G157" t="inlineStr">
        <is>
          <t>LESSEBO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1894-2025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46222</v>
      </c>
      <c r="F158" t="inlineStr">
        <is>
          <t>KRONOBERGS LÄN</t>
        </is>
      </c>
      <c r="G158" t="inlineStr">
        <is>
          <t>LESSEBO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1490-2025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45670</v>
      </c>
      <c r="E159" s="1" t="n">
        <v>46222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47693-2025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46222</v>
      </c>
      <c r="F160" t="inlineStr">
        <is>
          <t>KRONOBERGS LÄN</t>
        </is>
      </c>
      <c r="G160" t="inlineStr">
        <is>
          <t>LESSEBO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20056-2025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45772</v>
      </c>
      <c r="E161" s="1" t="n">
        <v>46222</v>
      </c>
      <c r="F161" t="inlineStr">
        <is>
          <t>KRONOBERGS LÄN</t>
        </is>
      </c>
      <c r="G161" t="inlineStr">
        <is>
          <t>LESSEBO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14549-2025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45741</v>
      </c>
      <c r="E162" s="1" t="n">
        <v>46222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27405-2024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45474</v>
      </c>
      <c r="E163" s="1" t="n">
        <v>46222</v>
      </c>
      <c r="F163" t="inlineStr">
        <is>
          <t>KRONOBERGS LÄN</t>
        </is>
      </c>
      <c r="G163" t="inlineStr">
        <is>
          <t>LESSEBO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13036-2022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44643</v>
      </c>
      <c r="E164" s="1" t="n">
        <v>46222</v>
      </c>
      <c r="F164" t="inlineStr">
        <is>
          <t>KRONOBERGS LÄN</t>
        </is>
      </c>
      <c r="G164" t="inlineStr">
        <is>
          <t>LESSEBO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46222</v>
      </c>
      <c r="F165" t="inlineStr">
        <is>
          <t>KRONOBERGS LÄN</t>
        </is>
      </c>
      <c r="G165" t="inlineStr">
        <is>
          <t>LESSEBO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56456-2024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45625</v>
      </c>
      <c r="E166" s="1" t="n">
        <v>46222</v>
      </c>
      <c r="F166" t="inlineStr">
        <is>
          <t>KRONOBERGS LÄN</t>
        </is>
      </c>
      <c r="G166" t="inlineStr">
        <is>
          <t>LESSEBO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56459-2024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46222</v>
      </c>
      <c r="F167" t="inlineStr">
        <is>
          <t>KRONOBERGS LÄN</t>
        </is>
      </c>
      <c r="G167" t="inlineStr">
        <is>
          <t>LESSEBO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1897-2025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45671</v>
      </c>
      <c r="E168" s="1" t="n">
        <v>46222</v>
      </c>
      <c r="F168" t="inlineStr">
        <is>
          <t>KRONOBERGS LÄN</t>
        </is>
      </c>
      <c r="G168" t="inlineStr">
        <is>
          <t>LESSEBO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20825-2023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45058</v>
      </c>
      <c r="E169" s="1" t="n">
        <v>46222</v>
      </c>
      <c r="F169" t="inlineStr">
        <is>
          <t>KRONOBERGS LÄN</t>
        </is>
      </c>
      <c r="G169" t="inlineStr">
        <is>
          <t>LESSEBO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36895-2025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45874</v>
      </c>
      <c r="E170" s="1" t="n">
        <v>46222</v>
      </c>
      <c r="F170" t="inlineStr">
        <is>
          <t>KRONOBERGS LÄN</t>
        </is>
      </c>
      <c r="G170" t="inlineStr">
        <is>
          <t>LESSEBO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48639-2023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46222</v>
      </c>
      <c r="F171" t="inlineStr">
        <is>
          <t>KRONOBERGS LÄN</t>
        </is>
      </c>
      <c r="G171" t="inlineStr">
        <is>
          <t>LESSEBO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56471-2024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45625</v>
      </c>
      <c r="E172" s="1" t="n">
        <v>46222</v>
      </c>
      <c r="F172" t="inlineStr">
        <is>
          <t>KRONOBERGS LÄN</t>
        </is>
      </c>
      <c r="G172" t="inlineStr">
        <is>
          <t>LESSEBO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38303-2025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45883</v>
      </c>
      <c r="E173" s="1" t="n">
        <v>46222</v>
      </c>
      <c r="F173" t="inlineStr">
        <is>
          <t>KRONOBERGS LÄN</t>
        </is>
      </c>
      <c r="G173" t="inlineStr">
        <is>
          <t>LESSEBO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50162-2023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45215</v>
      </c>
      <c r="E174" s="1" t="n">
        <v>46222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2755-2025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45677</v>
      </c>
      <c r="E175" s="1" t="n">
        <v>46222</v>
      </c>
      <c r="F175" t="inlineStr">
        <is>
          <t>KRONOBERGS LÄN</t>
        </is>
      </c>
      <c r="G175" t="inlineStr">
        <is>
          <t>LESSEBO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21745-2022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44708</v>
      </c>
      <c r="E176" s="1" t="n">
        <v>46222</v>
      </c>
      <c r="F176" t="inlineStr">
        <is>
          <t>KRONOBERGS LÄN</t>
        </is>
      </c>
      <c r="G176" t="inlineStr">
        <is>
          <t>LESSEBO</t>
        </is>
      </c>
      <c r="I176" t="n">
        <v>9.699999999999999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39603-2022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44818</v>
      </c>
      <c r="E177" s="1" t="n">
        <v>46222</v>
      </c>
      <c r="F177" t="inlineStr">
        <is>
          <t>KRONOBERGS LÄN</t>
        </is>
      </c>
      <c r="G177" t="inlineStr">
        <is>
          <t>LESSEBO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59321-2024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45637</v>
      </c>
      <c r="E178" s="1" t="n">
        <v>46222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27191-2022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44741</v>
      </c>
      <c r="E179" s="1" t="n">
        <v>46222</v>
      </c>
      <c r="F179" t="inlineStr">
        <is>
          <t>KRONOBERGS LÄN</t>
        </is>
      </c>
      <c r="G179" t="inlineStr">
        <is>
          <t>LESSEBO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35894-2025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45862</v>
      </c>
      <c r="E180" s="1" t="n">
        <v>46222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17203-2025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45756</v>
      </c>
      <c r="E181" s="1" t="n">
        <v>46222</v>
      </c>
      <c r="F181" t="inlineStr">
        <is>
          <t>KRONOBERGS LÄN</t>
        </is>
      </c>
      <c r="G181" t="inlineStr">
        <is>
          <t>LESSEBO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40912-2023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45173</v>
      </c>
      <c r="E182" s="1" t="n">
        <v>46222</v>
      </c>
      <c r="F182" t="inlineStr">
        <is>
          <t>KRONOBERGS LÄN</t>
        </is>
      </c>
      <c r="G182" t="inlineStr">
        <is>
          <t>LESSEBO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3239-2025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46222</v>
      </c>
      <c r="F183" t="inlineStr">
        <is>
          <t>KRONOBERGS LÄN</t>
        </is>
      </c>
      <c r="G183" t="inlineStr">
        <is>
          <t>LESSEBO</t>
        </is>
      </c>
      <c r="H183" t="inlineStr">
        <is>
          <t>Kommuner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54541-2023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45233</v>
      </c>
      <c r="E184" s="1" t="n">
        <v>46222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3875-2024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45322</v>
      </c>
      <c r="E185" s="1" t="n">
        <v>46222</v>
      </c>
      <c r="F185" t="inlineStr">
        <is>
          <t>KRONOBERGS LÄN</t>
        </is>
      </c>
      <c r="G185" t="inlineStr">
        <is>
          <t>LESSEBO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18207-2025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46222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18211-2025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46222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41905-2022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46222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21311-2026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46147</v>
      </c>
      <c r="E189" s="1" t="n">
        <v>46222</v>
      </c>
      <c r="F189" t="inlineStr">
        <is>
          <t>KRONOBERGS LÄN</t>
        </is>
      </c>
      <c r="G189" t="inlineStr">
        <is>
          <t>LESSEBO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27870-2026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46191</v>
      </c>
      <c r="E190" s="1" t="n">
        <v>46222</v>
      </c>
      <c r="F190" t="inlineStr">
        <is>
          <t>KRONOBERGS LÄN</t>
        </is>
      </c>
      <c r="G190" t="inlineStr">
        <is>
          <t>LESSEBO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27873-2026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46191</v>
      </c>
      <c r="E191" s="1" t="n">
        <v>46222</v>
      </c>
      <c r="F191" t="inlineStr">
        <is>
          <t>KRONOBERGS LÄN</t>
        </is>
      </c>
      <c r="G191" t="inlineStr">
        <is>
          <t>LESSEBO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39436-2022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44818</v>
      </c>
      <c r="E192" s="1" t="n">
        <v>46222</v>
      </c>
      <c r="F192" t="inlineStr">
        <is>
          <t>KRONOBERGS LÄN</t>
        </is>
      </c>
      <c r="G192" t="inlineStr">
        <is>
          <t>LESSEBO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17204-2025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45756</v>
      </c>
      <c r="E193" s="1" t="n">
        <v>46222</v>
      </c>
      <c r="F193" t="inlineStr">
        <is>
          <t>KRONOBERGS LÄN</t>
        </is>
      </c>
      <c r="G193" t="inlineStr">
        <is>
          <t>LESSEBO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22318-2026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46154</v>
      </c>
      <c r="E194" s="1" t="n">
        <v>46222</v>
      </c>
      <c r="F194" t="inlineStr">
        <is>
          <t>KRONOBERGS LÄN</t>
        </is>
      </c>
      <c r="G194" t="inlineStr">
        <is>
          <t>LESSEBO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35332-2022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44798</v>
      </c>
      <c r="E195" s="1" t="n">
        <v>46222</v>
      </c>
      <c r="F195" t="inlineStr">
        <is>
          <t>KRONOBERGS LÄN</t>
        </is>
      </c>
      <c r="G195" t="inlineStr">
        <is>
          <t>LESSEBO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56467-2024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45625</v>
      </c>
      <c r="E196" s="1" t="n">
        <v>46222</v>
      </c>
      <c r="F196" t="inlineStr">
        <is>
          <t>KRONOBERGS LÄN</t>
        </is>
      </c>
      <c r="G196" t="inlineStr">
        <is>
          <t>LESSEBO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22423-2026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46154</v>
      </c>
      <c r="E197" s="1" t="n">
        <v>46222</v>
      </c>
      <c r="F197" t="inlineStr">
        <is>
          <t>KRONOBERGS LÄN</t>
        </is>
      </c>
      <c r="G197" t="inlineStr">
        <is>
          <t>LESSEBO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59320-2024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45637</v>
      </c>
      <c r="E198" s="1" t="n">
        <v>46222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70349-2021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44536</v>
      </c>
      <c r="E199" s="1" t="n">
        <v>46222</v>
      </c>
      <c r="F199" t="inlineStr">
        <is>
          <t>KRONOBERGS LÄN</t>
        </is>
      </c>
      <c r="G199" t="inlineStr">
        <is>
          <t>LESSEBO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22764-2026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46157</v>
      </c>
      <c r="E200" s="1" t="n">
        <v>46222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22768-2026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46157</v>
      </c>
      <c r="E201" s="1" t="n">
        <v>46222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22770-2026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46157</v>
      </c>
      <c r="E202" s="1" t="n">
        <v>46222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20431-2025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45775</v>
      </c>
      <c r="E203" s="1" t="n">
        <v>46222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22723-2026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46157</v>
      </c>
      <c r="E204" s="1" t="n">
        <v>46222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20681-2025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45776</v>
      </c>
      <c r="E205" s="1" t="n">
        <v>46222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22718-2026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46157</v>
      </c>
      <c r="E206" s="1" t="n">
        <v>46222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22766-2026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46157</v>
      </c>
      <c r="E207" s="1" t="n">
        <v>46222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22756-2026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46157</v>
      </c>
      <c r="E208" s="1" t="n">
        <v>46222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8.699999999999999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22758-2026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46157</v>
      </c>
      <c r="E209" s="1" t="n">
        <v>46222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20435-2025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45775</v>
      </c>
      <c r="E210" s="1" t="n">
        <v>46222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20485-2025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45775</v>
      </c>
      <c r="E211" s="1" t="n">
        <v>46222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22719-2026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46157</v>
      </c>
      <c r="E212" s="1" t="n">
        <v>46222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22720-2026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46157</v>
      </c>
      <c r="E213" s="1" t="n">
        <v>46222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30914-2022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44767</v>
      </c>
      <c r="E214" s="1" t="n">
        <v>46222</v>
      </c>
      <c r="F214" t="inlineStr">
        <is>
          <t>KRONOBERGS LÄN</t>
        </is>
      </c>
      <c r="G214" t="inlineStr">
        <is>
          <t>LESSEBO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73140-2021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44550</v>
      </c>
      <c r="E215" s="1" t="n">
        <v>46222</v>
      </c>
      <c r="F215" t="inlineStr">
        <is>
          <t>KRONOBERGS LÄN</t>
        </is>
      </c>
      <c r="G215" t="inlineStr">
        <is>
          <t>LESSEBO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27574-2023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46222</v>
      </c>
      <c r="F216" t="inlineStr">
        <is>
          <t>KRONOBERGS LÄN</t>
        </is>
      </c>
      <c r="G216" t="inlineStr">
        <is>
          <t>LESSEBO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53341-2021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44468</v>
      </c>
      <c r="E217" s="1" t="n">
        <v>46222</v>
      </c>
      <c r="F217" t="inlineStr">
        <is>
          <t>KRONOBERGS LÄN</t>
        </is>
      </c>
      <c r="G217" t="inlineStr">
        <is>
          <t>LESSEBO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44955</v>
      </c>
      <c r="E218" s="1" t="n">
        <v>46222</v>
      </c>
      <c r="F218" t="inlineStr">
        <is>
          <t>KRONOBERGS LÄN</t>
        </is>
      </c>
      <c r="G218" t="inlineStr">
        <is>
          <t>LESSEBO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45320</v>
      </c>
      <c r="E219" s="1" t="n">
        <v>46222</v>
      </c>
      <c r="F219" t="inlineStr">
        <is>
          <t>KRONOBERGS LÄN</t>
        </is>
      </c>
      <c r="G219" t="inlineStr">
        <is>
          <t>LESSEBO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21546-2023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46222</v>
      </c>
      <c r="F220" t="inlineStr">
        <is>
          <t>KRONOBERGS LÄN</t>
        </is>
      </c>
      <c r="G220" t="inlineStr">
        <is>
          <t>LESSEBO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30822-2026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46205</v>
      </c>
      <c r="E221" s="1" t="n">
        <v>46222</v>
      </c>
      <c r="F221" t="inlineStr">
        <is>
          <t>KRONOBERGS LÄN</t>
        </is>
      </c>
      <c r="G221" t="inlineStr">
        <is>
          <t>LESSEBO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30826-2026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46205</v>
      </c>
      <c r="E222" s="1" t="n">
        <v>46222</v>
      </c>
      <c r="F222" t="inlineStr">
        <is>
          <t>KRONOBERGS LÄN</t>
        </is>
      </c>
      <c r="G222" t="inlineStr">
        <is>
          <t>LESSEBO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15180-2023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45016</v>
      </c>
      <c r="E223" s="1" t="n">
        <v>46222</v>
      </c>
      <c r="F223" t="inlineStr">
        <is>
          <t>KRONOBERGS LÄN</t>
        </is>
      </c>
      <c r="G223" t="inlineStr">
        <is>
          <t>LESSEBO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24275-2026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46169</v>
      </c>
      <c r="E224" s="1" t="n">
        <v>46222</v>
      </c>
      <c r="F224" t="inlineStr">
        <is>
          <t>KRONOBERGS LÄN</t>
        </is>
      </c>
      <c r="G224" t="inlineStr">
        <is>
          <t>LESSEBO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24271-2026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46169</v>
      </c>
      <c r="E225" s="1" t="n">
        <v>46222</v>
      </c>
      <c r="F225" t="inlineStr">
        <is>
          <t>KRONOBERGS LÄN</t>
        </is>
      </c>
      <c r="G225" t="inlineStr">
        <is>
          <t>LESSEBO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24272-2026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46169</v>
      </c>
      <c r="E226" s="1" t="n">
        <v>46222</v>
      </c>
      <c r="F226" t="inlineStr">
        <is>
          <t>KRONOBERGS LÄN</t>
        </is>
      </c>
      <c r="G226" t="inlineStr">
        <is>
          <t>LESSEBO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24269-2026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46169</v>
      </c>
      <c r="E227" s="1" t="n">
        <v>46222</v>
      </c>
      <c r="F227" t="inlineStr">
        <is>
          <t>KRONOBERGS LÄN</t>
        </is>
      </c>
      <c r="G227" t="inlineStr">
        <is>
          <t>LESSEBO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859-2025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45665</v>
      </c>
      <c r="E228" s="1" t="n">
        <v>46222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52031-2023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46222</v>
      </c>
      <c r="F229" t="inlineStr">
        <is>
          <t>KRONOBERGS LÄN</t>
        </is>
      </c>
      <c r="G229" t="inlineStr">
        <is>
          <t>LESSEBO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25169-2026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46175</v>
      </c>
      <c r="E230" s="1" t="n">
        <v>46222</v>
      </c>
      <c r="F230" t="inlineStr">
        <is>
          <t>KRONOBERGS LÄN</t>
        </is>
      </c>
      <c r="G230" t="inlineStr">
        <is>
          <t>LESSEBO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30966-2023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45113</v>
      </c>
      <c r="E231" s="1" t="n">
        <v>46222</v>
      </c>
      <c r="F231" t="inlineStr">
        <is>
          <t>KRONOBERGS LÄN</t>
        </is>
      </c>
      <c r="G231" t="inlineStr">
        <is>
          <t>LESSEBO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31252-2026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46218</v>
      </c>
      <c r="E232" s="1" t="n">
        <v>46222</v>
      </c>
      <c r="F232" t="inlineStr">
        <is>
          <t>KRONOBERGS LÄN</t>
        </is>
      </c>
      <c r="G232" t="inlineStr">
        <is>
          <t>LESSEBO</t>
        </is>
      </c>
      <c r="H232" t="inlineStr">
        <is>
          <t>Kommuner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68507-2021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44529</v>
      </c>
      <c r="E233" s="1" t="n">
        <v>46222</v>
      </c>
      <c r="F233" t="inlineStr">
        <is>
          <t>KRONOBERGS LÄN</t>
        </is>
      </c>
      <c r="G233" t="inlineStr">
        <is>
          <t>LESSEBO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38712-2022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44814</v>
      </c>
      <c r="E234" s="1" t="n">
        <v>46222</v>
      </c>
      <c r="F234" t="inlineStr">
        <is>
          <t>KRONOBERGS LÄN</t>
        </is>
      </c>
      <c r="G234" t="inlineStr">
        <is>
          <t>LESSEBO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20441-2025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46222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43206-2024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45567</v>
      </c>
      <c r="E236" s="1" t="n">
        <v>46222</v>
      </c>
      <c r="F236" t="inlineStr">
        <is>
          <t>KRONOBERGS LÄN</t>
        </is>
      </c>
      <c r="G236" t="inlineStr">
        <is>
          <t>LESSEBO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15203-2023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45017</v>
      </c>
      <c r="E237" s="1" t="n">
        <v>46222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15204-2023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45017</v>
      </c>
      <c r="E238" s="1" t="n">
        <v>46222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8690-2023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46222</v>
      </c>
      <c r="F239" t="inlineStr">
        <is>
          <t>KRONOBERGS LÄN</t>
        </is>
      </c>
      <c r="G239" t="inlineStr">
        <is>
          <t>LESSEBO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61995-2022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44918</v>
      </c>
      <c r="E240" s="1" t="n">
        <v>46222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4453-2024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45327</v>
      </c>
      <c r="E241" s="1" t="n">
        <v>46222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49121-2024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45594</v>
      </c>
      <c r="E242" s="1" t="n">
        <v>46222</v>
      </c>
      <c r="F242" t="inlineStr">
        <is>
          <t>KRONOBERGS LÄN</t>
        </is>
      </c>
      <c r="G242" t="inlineStr">
        <is>
          <t>LESSEBO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56475-2024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45625</v>
      </c>
      <c r="E243" s="1" t="n">
        <v>46222</v>
      </c>
      <c r="F243" t="inlineStr">
        <is>
          <t>KRONOBERGS LÄN</t>
        </is>
      </c>
      <c r="G243" t="inlineStr">
        <is>
          <t>LESSEBO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14551-2025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45741</v>
      </c>
      <c r="E244" s="1" t="n">
        <v>46222</v>
      </c>
      <c r="F244" t="inlineStr">
        <is>
          <t>KRONOBERGS LÄN</t>
        </is>
      </c>
      <c r="G244" t="inlineStr">
        <is>
          <t>LESSEBO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51990-2024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46222</v>
      </c>
      <c r="F245" t="inlineStr">
        <is>
          <t>KRONOBERGS LÄN</t>
        </is>
      </c>
      <c r="G245" t="inlineStr">
        <is>
          <t>LESSEBO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41598-2024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45560</v>
      </c>
      <c r="E246" s="1" t="n">
        <v>46222</v>
      </c>
      <c r="F246" t="inlineStr">
        <is>
          <t>KRONOBERGS LÄN</t>
        </is>
      </c>
      <c r="G246" t="inlineStr">
        <is>
          <t>LESSEBO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20852-2025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45777</v>
      </c>
      <c r="E247" s="1" t="n">
        <v>46222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61439-2024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46222</v>
      </c>
      <c r="F248" t="inlineStr">
        <is>
          <t>KRONOBERGS LÄN</t>
        </is>
      </c>
      <c r="G248" t="inlineStr">
        <is>
          <t>LESSEBO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21951-2025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45784</v>
      </c>
      <c r="E249" s="1" t="n">
        <v>46222</v>
      </c>
      <c r="F249" t="inlineStr">
        <is>
          <t>KRONOBERGS LÄN</t>
        </is>
      </c>
      <c r="G249" t="inlineStr">
        <is>
          <t>LESSEBO</t>
        </is>
      </c>
      <c r="H249" t="inlineStr">
        <is>
          <t>Kommuner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37964-2024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45544</v>
      </c>
      <c r="E250" s="1" t="n">
        <v>46222</v>
      </c>
      <c r="F250" t="inlineStr">
        <is>
          <t>KRONOBERGS LÄN</t>
        </is>
      </c>
      <c r="G250" t="inlineStr">
        <is>
          <t>LESSEBO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45688</v>
      </c>
      <c r="E251" s="1" t="n">
        <v>46222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29566-2024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46222</v>
      </c>
      <c r="F252" t="inlineStr">
        <is>
          <t>KRONOBERGS LÄN</t>
        </is>
      </c>
      <c r="G252" t="inlineStr">
        <is>
          <t>LESSEBO</t>
        </is>
      </c>
      <c r="I252" t="n">
        <v>21.3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53487-2024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45611</v>
      </c>
      <c r="E253" s="1" t="n">
        <v>46222</v>
      </c>
      <c r="F253" t="inlineStr">
        <is>
          <t>KRONOBERGS LÄN</t>
        </is>
      </c>
      <c r="G253" t="inlineStr">
        <is>
          <t>LESSEBO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10414-2025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45720</v>
      </c>
      <c r="E254" s="1" t="n">
        <v>46222</v>
      </c>
      <c r="F254" t="inlineStr">
        <is>
          <t>KRONOBERGS LÄN</t>
        </is>
      </c>
      <c r="G254" t="inlineStr">
        <is>
          <t>LESSEBO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8174-2025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45708</v>
      </c>
      <c r="E255" s="1" t="n">
        <v>46222</v>
      </c>
      <c r="F255" t="inlineStr">
        <is>
          <t>KRONOBERGS LÄN</t>
        </is>
      </c>
      <c r="G255" t="inlineStr">
        <is>
          <t>LESSEBO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S 2061-2022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44672</v>
      </c>
      <c r="E256" s="1" t="n">
        <v>46222</v>
      </c>
      <c r="F256" t="inlineStr">
        <is>
          <t>KRONOBERGS LÄN</t>
        </is>
      </c>
      <c r="G256" t="inlineStr">
        <is>
          <t>LESSEBO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S 2321-2023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45105</v>
      </c>
      <c r="E257" s="1" t="n">
        <v>46222</v>
      </c>
      <c r="F257" t="inlineStr">
        <is>
          <t>KRONOBERGS LÄN</t>
        </is>
      </c>
      <c r="G257" t="inlineStr">
        <is>
          <t>LESSEBO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S 4661-2022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44795</v>
      </c>
      <c r="E258" s="1" t="n">
        <v>46222</v>
      </c>
      <c r="F258" t="inlineStr">
        <is>
          <t>KRONOBERGS LÄN</t>
        </is>
      </c>
      <c r="G258" t="inlineStr">
        <is>
          <t>LESSEBO</t>
        </is>
      </c>
      <c r="I258" t="n">
        <v>43.6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S 396-2023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46222</v>
      </c>
      <c r="F259" t="inlineStr">
        <is>
          <t>KRONOBERGS LÄN</t>
        </is>
      </c>
      <c r="G259" t="inlineStr">
        <is>
          <t>LESSEBO</t>
        </is>
      </c>
      <c r="I259" t="n">
        <v>78.8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S 1592-2023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45056</v>
      </c>
      <c r="E260" s="1" t="n">
        <v>46222</v>
      </c>
      <c r="F260" t="inlineStr">
        <is>
          <t>KRONOBERGS LÄN</t>
        </is>
      </c>
      <c r="G260" t="inlineStr">
        <is>
          <t>LESSEBO</t>
        </is>
      </c>
      <c r="I260" t="n">
        <v>19.5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S 366-2023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46222</v>
      </c>
      <c r="F261" t="inlineStr">
        <is>
          <t>KRONOBERGS LÄN</t>
        </is>
      </c>
      <c r="G261" t="inlineStr">
        <is>
          <t>LESSEBO</t>
        </is>
      </c>
      <c r="I261" t="n">
        <v>35.8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S 6799-2022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46222</v>
      </c>
      <c r="F262" t="inlineStr">
        <is>
          <t>KRONOBERGS LÄN</t>
        </is>
      </c>
      <c r="G262" t="inlineStr">
        <is>
          <t>LESSEBO</t>
        </is>
      </c>
      <c r="I262" t="n">
        <v>28.2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S 6798-2022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46222</v>
      </c>
      <c r="F263" t="inlineStr">
        <is>
          <t>KRONOBERGS LÄN</t>
        </is>
      </c>
      <c r="G263" t="inlineStr">
        <is>
          <t>LESSEBO</t>
        </is>
      </c>
      <c r="I263" t="n">
        <v>149.8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S 1806-2023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45072</v>
      </c>
      <c r="E264" s="1" t="n">
        <v>46222</v>
      </c>
      <c r="F264" t="inlineStr">
        <is>
          <t>KRONOBERGS LÄN</t>
        </is>
      </c>
      <c r="G264" t="inlineStr">
        <is>
          <t>LESSEBO</t>
        </is>
      </c>
      <c r="I264" t="n">
        <v>61.9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S 3254-2023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45193</v>
      </c>
      <c r="E265" s="1" t="n">
        <v>46222</v>
      </c>
      <c r="F265" t="inlineStr">
        <is>
          <t>KRONOBERGS LÄN</t>
        </is>
      </c>
      <c r="G265" t="inlineStr">
        <is>
          <t>LESSEBO</t>
        </is>
      </c>
      <c r="I265" t="n">
        <v>88.59999999999999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S 1019-2024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45386</v>
      </c>
      <c r="E266" s="1" t="n">
        <v>46222</v>
      </c>
      <c r="F266" t="inlineStr">
        <is>
          <t>KRONOBERGS LÄN</t>
        </is>
      </c>
      <c r="G266" t="inlineStr">
        <is>
          <t>LESSEBO</t>
        </is>
      </c>
      <c r="I266" t="n">
        <v>14.5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S 4655-2022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44795</v>
      </c>
      <c r="E267" s="1" t="n">
        <v>46222</v>
      </c>
      <c r="F267" t="inlineStr">
        <is>
          <t>KRONOBERGS LÄN</t>
        </is>
      </c>
      <c r="G267" t="inlineStr">
        <is>
          <t>LESSEBO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312-2025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45688</v>
      </c>
      <c r="E268" s="1" t="n">
        <v>46222</v>
      </c>
      <c r="F268" t="inlineStr">
        <is>
          <t>KRONOBERGS LÄN</t>
        </is>
      </c>
      <c r="G268" t="inlineStr">
        <is>
          <t>LESSEBO</t>
        </is>
      </c>
      <c r="I268" t="n">
        <v>25.8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1799-2025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46222</v>
      </c>
      <c r="F269" t="inlineStr">
        <is>
          <t>KRONOBERGS LÄN</t>
        </is>
      </c>
      <c r="G269" t="inlineStr">
        <is>
          <t>LESSEBO</t>
        </is>
      </c>
      <c r="I269" t="n">
        <v>21.2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1798-2025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46222</v>
      </c>
      <c r="F270" t="inlineStr">
        <is>
          <t>KRONOBERGS LÄN</t>
        </is>
      </c>
      <c r="G270" t="inlineStr">
        <is>
          <t>LESSEBO</t>
        </is>
      </c>
      <c r="I270" t="n">
        <v>73.40000000000001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3564-2025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46222</v>
      </c>
      <c r="F271" t="inlineStr">
        <is>
          <t>KRONOBERGS LÄN</t>
        </is>
      </c>
      <c r="G271" t="inlineStr">
        <is>
          <t>LESSEBO</t>
        </is>
      </c>
      <c r="I271" t="n">
        <v>55.7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3565-2025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46222</v>
      </c>
      <c r="F272" t="inlineStr">
        <is>
          <t>KRONOBERGS LÄN</t>
        </is>
      </c>
      <c r="G272" t="inlineStr">
        <is>
          <t>LESSEBO</t>
        </is>
      </c>
      <c r="I272" t="n">
        <v>24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375-2026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46065</v>
      </c>
      <c r="E273" s="1" t="n">
        <v>46222</v>
      </c>
      <c r="F273" t="inlineStr">
        <is>
          <t>KRONOBERGS LÄN</t>
        </is>
      </c>
      <c r="G273" t="inlineStr">
        <is>
          <t>LESSEBO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>
      <c r="A274" t="inlineStr">
        <is>
          <t>S 1393-2026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46154</v>
      </c>
      <c r="E274" s="1" t="n">
        <v>46222</v>
      </c>
      <c r="F274" t="inlineStr">
        <is>
          <t>KRONOBERGS LÄN</t>
        </is>
      </c>
      <c r="G274" t="inlineStr">
        <is>
          <t>LESSEBO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2026-07-19T01:34:06Z</dcterms:created>
  <dcterms:modified xmlns:dcterms="http://purl.org/dc/terms/" xmlns:xsi="http://www.w3.org/2001/XMLSchema-instance" xsi:type="dcterms:W3CDTF">2026-07-19T01:34:06Z</dcterms:modified>
</cp:coreProperties>
</file>