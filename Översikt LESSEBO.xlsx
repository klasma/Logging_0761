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52544-2025</t>
        </is>
      </c>
      <c r="B2" s="1" t="n">
        <v>45954</v>
      </c>
      <c r="C2" s="1" t="n">
        <v>46204</v>
      </c>
      <c r="D2" t="inlineStr">
        <is>
          <t>KRONOBERGS LÄN</t>
        </is>
      </c>
      <c r="E2" t="inlineStr">
        <is>
          <t>LESSEBO</t>
        </is>
      </c>
      <c r="F2" t="inlineStr">
        <is>
          <t>Sveaskog</t>
        </is>
      </c>
      <c r="G2" t="n">
        <v>4.6</v>
      </c>
      <c r="H2" t="n">
        <v>4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Gulsparv
Grönsiska
Kungsfågel
Trädlärka</t>
        </is>
      </c>
      <c r="S2">
        <f>HYPERLINK("https://klasma.github.io/Logging_0761/artfynd/A 52544-2025 artfynd.xlsx", "A 52544-2025")</f>
        <v/>
      </c>
      <c r="T2">
        <f>HYPERLINK("https://klasma.github.io/Logging_0761/kartor/A 52544-2025 karta.png", "A 52544-2025")</f>
        <v/>
      </c>
      <c r="V2">
        <f>HYPERLINK("https://klasma.github.io/Logging_0761/klagomål/A 52544-2025 FSC-klagomål.docx", "A 52544-2025")</f>
        <v/>
      </c>
      <c r="W2">
        <f>HYPERLINK("https://klasma.github.io/Logging_0761/klagomålsmail/A 52544-2025 FSC-klagomål mail.docx", "A 52544-2025")</f>
        <v/>
      </c>
      <c r="X2">
        <f>HYPERLINK("https://klasma.github.io/Logging_0761/tillsyn/A 52544-2025 tillsynsbegäran.docx", "A 52544-2025")</f>
        <v/>
      </c>
      <c r="Y2">
        <f>HYPERLINK("https://klasma.github.io/Logging_0761/tillsynsmail/A 52544-2025 tillsynsbegäran mail.docx", "A 52544-2025")</f>
        <v/>
      </c>
      <c r="Z2">
        <f>HYPERLINK("https://klasma.github.io/Logging_0761/fåglar/A 52544-2025 prioriterade fågelarter.docx", "A 52544-2025")</f>
        <v/>
      </c>
    </row>
    <row r="3" ht="15" customHeight="1">
      <c r="A3" t="inlineStr">
        <is>
          <t>A 52542-2025</t>
        </is>
      </c>
      <c r="B3" s="1" t="n">
        <v>45954</v>
      </c>
      <c r="C3" s="1" t="n">
        <v>46204</v>
      </c>
      <c r="D3" t="inlineStr">
        <is>
          <t>KRONOBERGS LÄN</t>
        </is>
      </c>
      <c r="E3" t="inlineStr">
        <is>
          <t>LESSEBO</t>
        </is>
      </c>
      <c r="F3" t="inlineStr">
        <is>
          <t>Sveaskog</t>
        </is>
      </c>
      <c r="G3" t="n">
        <v>2.9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Brandticka
Vedticka
Kungsfågel</t>
        </is>
      </c>
      <c r="S3">
        <f>HYPERLINK("https://klasma.github.io/Logging_0761/artfynd/A 52542-2025 artfynd.xlsx", "A 52542-2025")</f>
        <v/>
      </c>
      <c r="T3">
        <f>HYPERLINK("https://klasma.github.io/Logging_0761/kartor/A 52542-2025 karta.png", "A 52542-2025")</f>
        <v/>
      </c>
      <c r="V3">
        <f>HYPERLINK("https://klasma.github.io/Logging_0761/klagomål/A 52542-2025 FSC-klagomål.docx", "A 52542-2025")</f>
        <v/>
      </c>
      <c r="W3">
        <f>HYPERLINK("https://klasma.github.io/Logging_0761/klagomålsmail/A 52542-2025 FSC-klagomål mail.docx", "A 52542-2025")</f>
        <v/>
      </c>
      <c r="X3">
        <f>HYPERLINK("https://klasma.github.io/Logging_0761/tillsyn/A 52542-2025 tillsynsbegäran.docx", "A 52542-2025")</f>
        <v/>
      </c>
      <c r="Y3">
        <f>HYPERLINK("https://klasma.github.io/Logging_0761/tillsynsmail/A 52542-2025 tillsynsbegäran mail.docx", "A 52542-2025")</f>
        <v/>
      </c>
    </row>
    <row r="4" ht="15" customHeight="1">
      <c r="A4" t="inlineStr">
        <is>
          <t>A 52541-2025</t>
        </is>
      </c>
      <c r="B4" s="1" t="n">
        <v>45954</v>
      </c>
      <c r="C4" s="1" t="n">
        <v>46204</v>
      </c>
      <c r="D4" t="inlineStr">
        <is>
          <t>KRONOBERGS LÄN</t>
        </is>
      </c>
      <c r="E4" t="inlineStr">
        <is>
          <t>LESSEBO</t>
        </is>
      </c>
      <c r="F4" t="inlineStr">
        <is>
          <t>Sveaskog</t>
        </is>
      </c>
      <c r="G4" t="n">
        <v>3.2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Spillkråka
Grönsiska
Kungsfågel</t>
        </is>
      </c>
      <c r="S4">
        <f>HYPERLINK("https://klasma.github.io/Logging_0761/artfynd/A 52541-2025 artfynd.xlsx", "A 52541-2025")</f>
        <v/>
      </c>
      <c r="T4">
        <f>HYPERLINK("https://klasma.github.io/Logging_0761/kartor/A 52541-2025 karta.png", "A 52541-2025")</f>
        <v/>
      </c>
      <c r="V4">
        <f>HYPERLINK("https://klasma.github.io/Logging_0761/klagomål/A 52541-2025 FSC-klagomål.docx", "A 52541-2025")</f>
        <v/>
      </c>
      <c r="W4">
        <f>HYPERLINK("https://klasma.github.io/Logging_0761/klagomålsmail/A 52541-2025 FSC-klagomål mail.docx", "A 52541-2025")</f>
        <v/>
      </c>
      <c r="X4">
        <f>HYPERLINK("https://klasma.github.io/Logging_0761/tillsyn/A 52541-2025 tillsynsbegäran.docx", "A 52541-2025")</f>
        <v/>
      </c>
      <c r="Y4">
        <f>HYPERLINK("https://klasma.github.io/Logging_0761/tillsynsmail/A 52541-2025 tillsynsbegäran mail.docx", "A 52541-2025")</f>
        <v/>
      </c>
      <c r="Z4">
        <f>HYPERLINK("https://klasma.github.io/Logging_0761/fåglar/A 52541-2025 prioriterade fågelarter.docx", "A 52541-2025")</f>
        <v/>
      </c>
    </row>
    <row r="5" ht="15" customHeight="1">
      <c r="A5" t="inlineStr">
        <is>
          <t>A 62152-2023</t>
        </is>
      </c>
      <c r="B5" s="1" t="n">
        <v>45267</v>
      </c>
      <c r="C5" s="1" t="n">
        <v>46204</v>
      </c>
      <c r="D5" t="inlineStr">
        <is>
          <t>KRONOBERGS LÄN</t>
        </is>
      </c>
      <c r="E5" t="inlineStr">
        <is>
          <t>LESSEBO</t>
        </is>
      </c>
      <c r="F5" t="inlineStr">
        <is>
          <t>Kommuner</t>
        </is>
      </c>
      <c r="G5" t="n">
        <v>2.3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Tvåblad
Nattviol</t>
        </is>
      </c>
      <c r="S5">
        <f>HYPERLINK("https://klasma.github.io/Logging_0761/artfynd/A 62152-2023 artfynd.xlsx", "A 62152-2023")</f>
        <v/>
      </c>
      <c r="T5">
        <f>HYPERLINK("https://klasma.github.io/Logging_0761/kartor/A 62152-2023 karta.png", "A 62152-2023")</f>
        <v/>
      </c>
      <c r="V5">
        <f>HYPERLINK("https://klasma.github.io/Logging_0761/klagomål/A 62152-2023 FSC-klagomål.docx", "A 62152-2023")</f>
        <v/>
      </c>
      <c r="W5">
        <f>HYPERLINK("https://klasma.github.io/Logging_0761/klagomålsmail/A 62152-2023 FSC-klagomål mail.docx", "A 62152-2023")</f>
        <v/>
      </c>
      <c r="X5">
        <f>HYPERLINK("https://klasma.github.io/Logging_0761/tillsyn/A 62152-2023 tillsynsbegäran.docx", "A 62152-2023")</f>
        <v/>
      </c>
      <c r="Y5">
        <f>HYPERLINK("https://klasma.github.io/Logging_0761/tillsynsmail/A 62152-2023 tillsynsbegäran mail.docx", "A 62152-2023")</f>
        <v/>
      </c>
    </row>
    <row r="6" ht="15" customHeight="1">
      <c r="A6" t="inlineStr">
        <is>
          <t>A 25359-2026</t>
        </is>
      </c>
      <c r="B6" s="1" t="n">
        <v>46176</v>
      </c>
      <c r="C6" s="1" t="n">
        <v>46204</v>
      </c>
      <c r="D6" t="inlineStr">
        <is>
          <t>KRONOBERGS LÄN</t>
        </is>
      </c>
      <c r="E6" t="inlineStr">
        <is>
          <t>LESSEBO</t>
        </is>
      </c>
      <c r="F6" t="inlineStr">
        <is>
          <t>Sveaskog</t>
        </is>
      </c>
      <c r="G6" t="n">
        <v>1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Talltita
Kungsfågel</t>
        </is>
      </c>
      <c r="S6">
        <f>HYPERLINK("https://klasma.github.io/Logging_0761/artfynd/A 25359-2026 artfynd.xlsx", "A 25359-2026")</f>
        <v/>
      </c>
      <c r="T6">
        <f>HYPERLINK("https://klasma.github.io/Logging_0761/kartor/A 25359-2026 karta.png", "A 25359-2026")</f>
        <v/>
      </c>
      <c r="V6">
        <f>HYPERLINK("https://klasma.github.io/Logging_0761/klagomål/A 25359-2026 FSC-klagomål.docx", "A 25359-2026")</f>
        <v/>
      </c>
      <c r="W6">
        <f>HYPERLINK("https://klasma.github.io/Logging_0761/klagomålsmail/A 25359-2026 FSC-klagomål mail.docx", "A 25359-2026")</f>
        <v/>
      </c>
      <c r="X6">
        <f>HYPERLINK("https://klasma.github.io/Logging_0761/tillsyn/A 25359-2026 tillsynsbegäran.docx", "A 25359-2026")</f>
        <v/>
      </c>
      <c r="Y6">
        <f>HYPERLINK("https://klasma.github.io/Logging_0761/tillsynsmail/A 25359-2026 tillsynsbegäran mail.docx", "A 25359-2026")</f>
        <v/>
      </c>
      <c r="Z6">
        <f>HYPERLINK("https://klasma.github.io/Logging_0761/fåglar/A 25359-2026 prioriterade fågelarter.docx", "A 25359-2026")</f>
        <v/>
      </c>
    </row>
    <row r="7" ht="15" customHeight="1">
      <c r="A7" t="inlineStr">
        <is>
          <t>A 12378-2022</t>
        </is>
      </c>
      <c r="B7" s="1" t="n">
        <v>44637</v>
      </c>
      <c r="C7" s="1" t="n">
        <v>46204</v>
      </c>
      <c r="D7" t="inlineStr">
        <is>
          <t>KRONOBERGS LÄN</t>
        </is>
      </c>
      <c r="E7" t="inlineStr">
        <is>
          <t>LESSEBO</t>
        </is>
      </c>
      <c r="G7" t="n">
        <v>1.2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Lopplummer (aggregat)</t>
        </is>
      </c>
      <c r="S7">
        <f>HYPERLINK("https://klasma.github.io/Logging_0761/artfynd/A 12378-2022 artfynd.xlsx", "A 12378-2022")</f>
        <v/>
      </c>
      <c r="T7">
        <f>HYPERLINK("https://klasma.github.io/Logging_0761/kartor/A 12378-2022 karta.png", "A 12378-2022")</f>
        <v/>
      </c>
      <c r="V7">
        <f>HYPERLINK("https://klasma.github.io/Logging_0761/klagomål/A 12378-2022 FSC-klagomål.docx", "A 12378-2022")</f>
        <v/>
      </c>
      <c r="W7">
        <f>HYPERLINK("https://klasma.github.io/Logging_0761/klagomålsmail/A 12378-2022 FSC-klagomål mail.docx", "A 12378-2022")</f>
        <v/>
      </c>
      <c r="X7">
        <f>HYPERLINK("https://klasma.github.io/Logging_0761/tillsyn/A 12378-2022 tillsynsbegäran.docx", "A 12378-2022")</f>
        <v/>
      </c>
      <c r="Y7">
        <f>HYPERLINK("https://klasma.github.io/Logging_0761/tillsynsmail/A 12378-2022 tillsynsbegäran mail.docx", "A 12378-2022")</f>
        <v/>
      </c>
    </row>
    <row r="8" ht="15" customHeight="1">
      <c r="A8" t="inlineStr">
        <is>
          <t>A 1488-2025</t>
        </is>
      </c>
      <c r="B8" s="1" t="n">
        <v>45670</v>
      </c>
      <c r="C8" s="1" t="n">
        <v>46204</v>
      </c>
      <c r="D8" t="inlineStr">
        <is>
          <t>KRONOBERGS LÄN</t>
        </is>
      </c>
      <c r="E8" t="inlineStr">
        <is>
          <t>LESSEBO</t>
        </is>
      </c>
      <c r="G8" t="n">
        <v>1.4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Korallrot</t>
        </is>
      </c>
      <c r="S8">
        <f>HYPERLINK("https://klasma.github.io/Logging_0761/artfynd/A 1488-2025 artfynd.xlsx", "A 1488-2025")</f>
        <v/>
      </c>
      <c r="T8">
        <f>HYPERLINK("https://klasma.github.io/Logging_0761/kartor/A 1488-2025 karta.png", "A 1488-2025")</f>
        <v/>
      </c>
      <c r="V8">
        <f>HYPERLINK("https://klasma.github.io/Logging_0761/klagomål/A 1488-2025 FSC-klagomål.docx", "A 1488-2025")</f>
        <v/>
      </c>
      <c r="W8">
        <f>HYPERLINK("https://klasma.github.io/Logging_0761/klagomålsmail/A 1488-2025 FSC-klagomål mail.docx", "A 1488-2025")</f>
        <v/>
      </c>
      <c r="X8">
        <f>HYPERLINK("https://klasma.github.io/Logging_0761/tillsyn/A 1488-2025 tillsynsbegäran.docx", "A 1488-2025")</f>
        <v/>
      </c>
      <c r="Y8">
        <f>HYPERLINK("https://klasma.github.io/Logging_0761/tillsynsmail/A 1488-2025 tillsynsbegäran mail.docx", "A 1488-2025")</f>
        <v/>
      </c>
    </row>
    <row r="9" ht="15" customHeight="1">
      <c r="A9" t="inlineStr">
        <is>
          <t>A 56472-2024</t>
        </is>
      </c>
      <c r="B9" s="1" t="n">
        <v>45625</v>
      </c>
      <c r="C9" s="1" t="n">
        <v>46204</v>
      </c>
      <c r="D9" t="inlineStr">
        <is>
          <t>KRONOBERGS LÄN</t>
        </is>
      </c>
      <c r="E9" t="inlineStr">
        <is>
          <t>LESSEBO</t>
        </is>
      </c>
      <c r="G9" t="n">
        <v>5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Fläcknycklar</t>
        </is>
      </c>
      <c r="S9">
        <f>HYPERLINK("https://klasma.github.io/Logging_0761/artfynd/A 56472-2024 artfynd.xlsx", "A 56472-2024")</f>
        <v/>
      </c>
      <c r="T9">
        <f>HYPERLINK("https://klasma.github.io/Logging_0761/kartor/A 56472-2024 karta.png", "A 56472-2024")</f>
        <v/>
      </c>
      <c r="V9">
        <f>HYPERLINK("https://klasma.github.io/Logging_0761/klagomål/A 56472-2024 FSC-klagomål.docx", "A 56472-2024")</f>
        <v/>
      </c>
      <c r="W9">
        <f>HYPERLINK("https://klasma.github.io/Logging_0761/klagomålsmail/A 56472-2024 FSC-klagomål mail.docx", "A 56472-2024")</f>
        <v/>
      </c>
      <c r="X9">
        <f>HYPERLINK("https://klasma.github.io/Logging_0761/tillsyn/A 56472-2024 tillsynsbegäran.docx", "A 56472-2024")</f>
        <v/>
      </c>
      <c r="Y9">
        <f>HYPERLINK("https://klasma.github.io/Logging_0761/tillsynsmail/A 56472-2024 tillsynsbegäran mail.docx", "A 56472-2024")</f>
        <v/>
      </c>
    </row>
    <row r="10" ht="15" customHeight="1">
      <c r="A10" t="inlineStr">
        <is>
          <t>A 52540-2025</t>
        </is>
      </c>
      <c r="B10" s="1" t="n">
        <v>45954</v>
      </c>
      <c r="C10" s="1" t="n">
        <v>46204</v>
      </c>
      <c r="D10" t="inlineStr">
        <is>
          <t>KRONOBERGS LÄN</t>
        </is>
      </c>
      <c r="E10" t="inlineStr">
        <is>
          <t>LESSEBO</t>
        </is>
      </c>
      <c r="F10" t="inlineStr">
        <is>
          <t>Sveaskog</t>
        </is>
      </c>
      <c r="G10" t="n">
        <v>1.5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Kungsfågel</t>
        </is>
      </c>
      <c r="S10">
        <f>HYPERLINK("https://klasma.github.io/Logging_0761/artfynd/A 52540-2025 artfynd.xlsx", "A 52540-2025")</f>
        <v/>
      </c>
      <c r="T10">
        <f>HYPERLINK("https://klasma.github.io/Logging_0761/kartor/A 52540-2025 karta.png", "A 52540-2025")</f>
        <v/>
      </c>
      <c r="V10">
        <f>HYPERLINK("https://klasma.github.io/Logging_0761/klagomål/A 52540-2025 FSC-klagomål.docx", "A 52540-2025")</f>
        <v/>
      </c>
      <c r="W10">
        <f>HYPERLINK("https://klasma.github.io/Logging_0761/klagomålsmail/A 52540-2025 FSC-klagomål mail.docx", "A 52540-2025")</f>
        <v/>
      </c>
      <c r="X10">
        <f>HYPERLINK("https://klasma.github.io/Logging_0761/tillsyn/A 52540-2025 tillsynsbegäran.docx", "A 52540-2025")</f>
        <v/>
      </c>
      <c r="Y10">
        <f>HYPERLINK("https://klasma.github.io/Logging_0761/tillsynsmail/A 52540-2025 tillsynsbegäran mail.docx", "A 52540-2025")</f>
        <v/>
      </c>
    </row>
    <row r="11" ht="15" customHeight="1">
      <c r="A11" t="inlineStr">
        <is>
          <t>A 52539-2025</t>
        </is>
      </c>
      <c r="B11" s="1" t="n">
        <v>45954</v>
      </c>
      <c r="C11" s="1" t="n">
        <v>46204</v>
      </c>
      <c r="D11" t="inlineStr">
        <is>
          <t>KRONOBERGS LÄN</t>
        </is>
      </c>
      <c r="E11" t="inlineStr">
        <is>
          <t>LESSEBO</t>
        </is>
      </c>
      <c r="F11" t="inlineStr">
        <is>
          <t>Sveaskog</t>
        </is>
      </c>
      <c r="G11" t="n">
        <v>0.7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Kungsfågel</t>
        </is>
      </c>
      <c r="S11">
        <f>HYPERLINK("https://klasma.github.io/Logging_0761/artfynd/A 52539-2025 artfynd.xlsx", "A 52539-2025")</f>
        <v/>
      </c>
      <c r="T11">
        <f>HYPERLINK("https://klasma.github.io/Logging_0761/kartor/A 52539-2025 karta.png", "A 52539-2025")</f>
        <v/>
      </c>
      <c r="V11">
        <f>HYPERLINK("https://klasma.github.io/Logging_0761/klagomål/A 52539-2025 FSC-klagomål.docx", "A 52539-2025")</f>
        <v/>
      </c>
      <c r="W11">
        <f>HYPERLINK("https://klasma.github.io/Logging_0761/klagomålsmail/A 52539-2025 FSC-klagomål mail.docx", "A 52539-2025")</f>
        <v/>
      </c>
      <c r="X11">
        <f>HYPERLINK("https://klasma.github.io/Logging_0761/tillsyn/A 52539-2025 tillsynsbegäran.docx", "A 52539-2025")</f>
        <v/>
      </c>
      <c r="Y11">
        <f>HYPERLINK("https://klasma.github.io/Logging_0761/tillsynsmail/A 52539-2025 tillsynsbegäran mail.docx", "A 52539-2025")</f>
        <v/>
      </c>
    </row>
    <row r="12" ht="15" customHeight="1">
      <c r="A12" t="inlineStr">
        <is>
          <t>A 37936-2021</t>
        </is>
      </c>
      <c r="B12" s="1" t="n">
        <v>44403</v>
      </c>
      <c r="C12" s="1" t="n">
        <v>46204</v>
      </c>
      <c r="D12" t="inlineStr">
        <is>
          <t>KRONOBERGS LÄN</t>
        </is>
      </c>
      <c r="E12" t="inlineStr">
        <is>
          <t>LESSEBO</t>
        </is>
      </c>
      <c r="G12" t="n">
        <v>6.2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HYPERLINK("https://klasma.github.io/Logging_0761/artfynd/A 37936-2021 artfynd.xlsx", "A 37936-2021")</f>
        <v/>
      </c>
      <c r="T12">
        <f>HYPERLINK("https://klasma.github.io/Logging_0761/kartor/A 37936-2021 karta.png", "A 37936-2021")</f>
        <v/>
      </c>
      <c r="U12">
        <f>HYPERLINK("https://klasma.github.io/Logging_0761/knärot/A 37936-2021 karta knärot.png", "A 37936-2021")</f>
        <v/>
      </c>
      <c r="V12">
        <f>HYPERLINK("https://klasma.github.io/Logging_0761/klagomål/A 37936-2021 FSC-klagomål.docx", "A 37936-2021")</f>
        <v/>
      </c>
      <c r="W12">
        <f>HYPERLINK("https://klasma.github.io/Logging_0761/klagomålsmail/A 37936-2021 FSC-klagomål mail.docx", "A 37936-2021")</f>
        <v/>
      </c>
      <c r="X12">
        <f>HYPERLINK("https://klasma.github.io/Logging_0761/tillsyn/A 37936-2021 tillsynsbegäran.docx", "A 37936-2021")</f>
        <v/>
      </c>
      <c r="Y12">
        <f>HYPERLINK("https://klasma.github.io/Logging_0761/tillsynsmail/A 37936-2021 tillsynsbegäran mail.docx", "A 37936-2021")</f>
        <v/>
      </c>
    </row>
    <row r="13" ht="15" customHeight="1">
      <c r="A13" t="inlineStr">
        <is>
          <t>A 44576-2022</t>
        </is>
      </c>
      <c r="B13" s="1" t="n">
        <v>44840</v>
      </c>
      <c r="C13" s="1" t="n">
        <v>46204</v>
      </c>
      <c r="D13" t="inlineStr">
        <is>
          <t>KRONOBERGS LÄN</t>
        </is>
      </c>
      <c r="E13" t="inlineStr">
        <is>
          <t>LESSEBO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40770-2022</t>
        </is>
      </c>
      <c r="B14" s="1" t="n">
        <v>44824</v>
      </c>
      <c r="C14" s="1" t="n">
        <v>46204</v>
      </c>
      <c r="D14" t="inlineStr">
        <is>
          <t>KRONOBERGS LÄN</t>
        </is>
      </c>
      <c r="E14" t="inlineStr">
        <is>
          <t>LESSEBO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64155-2021</t>
        </is>
      </c>
      <c r="B15" s="1" t="n">
        <v>44510</v>
      </c>
      <c r="C15" s="1" t="n">
        <v>46204</v>
      </c>
      <c r="D15" t="inlineStr">
        <is>
          <t>KRONOBERGS LÄN</t>
        </is>
      </c>
      <c r="E15" t="inlineStr">
        <is>
          <t>LESSEBO</t>
        </is>
      </c>
      <c r="F15" t="inlineStr">
        <is>
          <t>Kyrkan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66390-2021</t>
        </is>
      </c>
      <c r="B16" s="1" t="n">
        <v>44518</v>
      </c>
      <c r="C16" s="1" t="n">
        <v>46204</v>
      </c>
      <c r="D16" t="inlineStr">
        <is>
          <t>KRONOBERGS LÄN</t>
        </is>
      </c>
      <c r="E16" t="inlineStr">
        <is>
          <t>LESSEBO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41611-2021</t>
        </is>
      </c>
      <c r="B17" s="1" t="n">
        <v>44425</v>
      </c>
      <c r="C17" s="1" t="n">
        <v>46204</v>
      </c>
      <c r="D17" t="inlineStr">
        <is>
          <t>KRONOBERGS LÄN</t>
        </is>
      </c>
      <c r="E17" t="inlineStr">
        <is>
          <t>LESSEBO</t>
        </is>
      </c>
      <c r="F17" t="inlineStr">
        <is>
          <t>Sveaskog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49921-2022</t>
        </is>
      </c>
      <c r="B18" s="1" t="n">
        <v>44865</v>
      </c>
      <c r="C18" s="1" t="n">
        <v>46204</v>
      </c>
      <c r="D18" t="inlineStr">
        <is>
          <t>KRONOBERGS LÄN</t>
        </is>
      </c>
      <c r="E18" t="inlineStr">
        <is>
          <t>LESSEBO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45963-2022</t>
        </is>
      </c>
      <c r="B19" s="1" t="n">
        <v>44846</v>
      </c>
      <c r="C19" s="1" t="n">
        <v>46204</v>
      </c>
      <c r="D19" t="inlineStr">
        <is>
          <t>KRONOBERGS LÄN</t>
        </is>
      </c>
      <c r="E19" t="inlineStr">
        <is>
          <t>LESSEBO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45956-2022</t>
        </is>
      </c>
      <c r="B20" s="1" t="n">
        <v>44846</v>
      </c>
      <c r="C20" s="1" t="n">
        <v>46204</v>
      </c>
      <c r="D20" t="inlineStr">
        <is>
          <t>KRONOBERGS LÄN</t>
        </is>
      </c>
      <c r="E20" t="inlineStr">
        <is>
          <t>LESSEBO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3741-2022</t>
        </is>
      </c>
      <c r="B21" s="1" t="n">
        <v>44586</v>
      </c>
      <c r="C21" s="1" t="n">
        <v>46204</v>
      </c>
      <c r="D21" t="inlineStr">
        <is>
          <t>KRONOBERGS LÄN</t>
        </is>
      </c>
      <c r="E21" t="inlineStr">
        <is>
          <t>LESSEBO</t>
        </is>
      </c>
      <c r="F21" t="inlineStr">
        <is>
          <t>Kommuner</t>
        </is>
      </c>
      <c r="G21" t="n">
        <v>3.3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24680-2022</t>
        </is>
      </c>
      <c r="B22" s="1" t="n">
        <v>44727</v>
      </c>
      <c r="C22" s="1" t="n">
        <v>46204</v>
      </c>
      <c r="D22" t="inlineStr">
        <is>
          <t>KRONOBERGS LÄN</t>
        </is>
      </c>
      <c r="E22" t="inlineStr">
        <is>
          <t>LESSEBO</t>
        </is>
      </c>
      <c r="G22" t="n">
        <v>3.4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64161-2021</t>
        </is>
      </c>
      <c r="B23" s="1" t="n">
        <v>44510</v>
      </c>
      <c r="C23" s="1" t="n">
        <v>46204</v>
      </c>
      <c r="D23" t="inlineStr">
        <is>
          <t>KRONOBERGS LÄN</t>
        </is>
      </c>
      <c r="E23" t="inlineStr">
        <is>
          <t>LESSEBO</t>
        </is>
      </c>
      <c r="G23" t="n">
        <v>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41626-2021</t>
        </is>
      </c>
      <c r="B24" s="1" t="n">
        <v>44425</v>
      </c>
      <c r="C24" s="1" t="n">
        <v>46204</v>
      </c>
      <c r="D24" t="inlineStr">
        <is>
          <t>KRONOBERGS LÄN</t>
        </is>
      </c>
      <c r="E24" t="inlineStr">
        <is>
          <t>LESSEBO</t>
        </is>
      </c>
      <c r="F24" t="inlineStr">
        <is>
          <t>Sveaskog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4200-2022</t>
        </is>
      </c>
      <c r="B25" s="1" t="n">
        <v>44588</v>
      </c>
      <c r="C25" s="1" t="n">
        <v>46204</v>
      </c>
      <c r="D25" t="inlineStr">
        <is>
          <t>KRONOBERGS LÄN</t>
        </is>
      </c>
      <c r="E25" t="inlineStr">
        <is>
          <t>LESSEBO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41617-2021</t>
        </is>
      </c>
      <c r="B26" s="1" t="n">
        <v>44425</v>
      </c>
      <c r="C26" s="1" t="n">
        <v>46204</v>
      </c>
      <c r="D26" t="inlineStr">
        <is>
          <t>KRONOBERGS LÄN</t>
        </is>
      </c>
      <c r="E26" t="inlineStr">
        <is>
          <t>LESSEBO</t>
        </is>
      </c>
      <c r="F26" t="inlineStr">
        <is>
          <t>Sveaskog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45095-2022</t>
        </is>
      </c>
      <c r="B27" s="1" t="n">
        <v>44842</v>
      </c>
      <c r="C27" s="1" t="n">
        <v>46204</v>
      </c>
      <c r="D27" t="inlineStr">
        <is>
          <t>KRONOBERGS LÄN</t>
        </is>
      </c>
      <c r="E27" t="inlineStr">
        <is>
          <t>LESSEBO</t>
        </is>
      </c>
      <c r="F27" t="inlineStr">
        <is>
          <t>Sveaskog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59408-2021</t>
        </is>
      </c>
      <c r="B28" s="1" t="n">
        <v>44491</v>
      </c>
      <c r="C28" s="1" t="n">
        <v>46204</v>
      </c>
      <c r="D28" t="inlineStr">
        <is>
          <t>KRONOBERGS LÄN</t>
        </is>
      </c>
      <c r="E28" t="inlineStr">
        <is>
          <t>LESSEBO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48116-2021</t>
        </is>
      </c>
      <c r="B29" s="1" t="n">
        <v>44449</v>
      </c>
      <c r="C29" s="1" t="n">
        <v>46204</v>
      </c>
      <c r="D29" t="inlineStr">
        <is>
          <t>KRONOBERGS LÄN</t>
        </is>
      </c>
      <c r="E29" t="inlineStr">
        <is>
          <t>LESSEBO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68513-2021</t>
        </is>
      </c>
      <c r="B30" s="1" t="n">
        <v>44529</v>
      </c>
      <c r="C30" s="1" t="n">
        <v>46204</v>
      </c>
      <c r="D30" t="inlineStr">
        <is>
          <t>KRONOBERGS LÄN</t>
        </is>
      </c>
      <c r="E30" t="inlineStr">
        <is>
          <t>LESSEBO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41619-2021</t>
        </is>
      </c>
      <c r="B31" s="1" t="n">
        <v>44425</v>
      </c>
      <c r="C31" s="1" t="n">
        <v>46204</v>
      </c>
      <c r="D31" t="inlineStr">
        <is>
          <t>KRONOBERGS LÄN</t>
        </is>
      </c>
      <c r="E31" t="inlineStr">
        <is>
          <t>LESSEBO</t>
        </is>
      </c>
      <c r="F31" t="inlineStr">
        <is>
          <t>Sveaskog</t>
        </is>
      </c>
      <c r="G31" t="n">
        <v>3.6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19495-2022</t>
        </is>
      </c>
      <c r="B32" s="1" t="n">
        <v>44693</v>
      </c>
      <c r="C32" s="1" t="n">
        <v>46204</v>
      </c>
      <c r="D32" t="inlineStr">
        <is>
          <t>KRONOBERGS LÄN</t>
        </is>
      </c>
      <c r="E32" t="inlineStr">
        <is>
          <t>LESSEBO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63330-2021</t>
        </is>
      </c>
      <c r="B33" s="1" t="n">
        <v>44508</v>
      </c>
      <c r="C33" s="1" t="n">
        <v>46204</v>
      </c>
      <c r="D33" t="inlineStr">
        <is>
          <t>KRONOBERGS LÄN</t>
        </is>
      </c>
      <c r="E33" t="inlineStr">
        <is>
          <t>LESSEBO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66902-2021</t>
        </is>
      </c>
      <c r="B34" s="1" t="n">
        <v>44522</v>
      </c>
      <c r="C34" s="1" t="n">
        <v>46204</v>
      </c>
      <c r="D34" t="inlineStr">
        <is>
          <t>KRONOBERGS LÄN</t>
        </is>
      </c>
      <c r="E34" t="inlineStr">
        <is>
          <t>LESSEBO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43255-2021</t>
        </is>
      </c>
      <c r="B35" s="1" t="n">
        <v>44432</v>
      </c>
      <c r="C35" s="1" t="n">
        <v>46204</v>
      </c>
      <c r="D35" t="inlineStr">
        <is>
          <t>KRONOBERGS LÄN</t>
        </is>
      </c>
      <c r="E35" t="inlineStr">
        <is>
          <t>LESSEBO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27794-2022</t>
        </is>
      </c>
      <c r="B36" s="1" t="n">
        <v>44743</v>
      </c>
      <c r="C36" s="1" t="n">
        <v>46204</v>
      </c>
      <c r="D36" t="inlineStr">
        <is>
          <t>KRONOBERGS LÄN</t>
        </is>
      </c>
      <c r="E36" t="inlineStr">
        <is>
          <t>LESSEBO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46909-2021</t>
        </is>
      </c>
      <c r="B37" s="1" t="n">
        <v>44446</v>
      </c>
      <c r="C37" s="1" t="n">
        <v>46204</v>
      </c>
      <c r="D37" t="inlineStr">
        <is>
          <t>KRONOBERGS LÄN</t>
        </is>
      </c>
      <c r="E37" t="inlineStr">
        <is>
          <t>LESSEBO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51006-2021</t>
        </is>
      </c>
      <c r="B38" s="1" t="n">
        <v>44460</v>
      </c>
      <c r="C38" s="1" t="n">
        <v>46204</v>
      </c>
      <c r="D38" t="inlineStr">
        <is>
          <t>KRONOBERGS LÄN</t>
        </is>
      </c>
      <c r="E38" t="inlineStr">
        <is>
          <t>LESSEBO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33240-2024</t>
        </is>
      </c>
      <c r="B39" s="1" t="n">
        <v>45518</v>
      </c>
      <c r="C39" s="1" t="n">
        <v>46204</v>
      </c>
      <c r="D39" t="inlineStr">
        <is>
          <t>KRONOBERGS LÄN</t>
        </is>
      </c>
      <c r="E39" t="inlineStr">
        <is>
          <t>LESSEBO</t>
        </is>
      </c>
      <c r="G39" t="n">
        <v>7.4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56456-2024</t>
        </is>
      </c>
      <c r="B40" s="1" t="n">
        <v>45625</v>
      </c>
      <c r="C40" s="1" t="n">
        <v>46204</v>
      </c>
      <c r="D40" t="inlineStr">
        <is>
          <t>KRONOBERGS LÄN</t>
        </is>
      </c>
      <c r="E40" t="inlineStr">
        <is>
          <t>LESSEBO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56459-2024</t>
        </is>
      </c>
      <c r="B41" s="1" t="n">
        <v>45625</v>
      </c>
      <c r="C41" s="1" t="n">
        <v>46204</v>
      </c>
      <c r="D41" t="inlineStr">
        <is>
          <t>KRONOBERGS LÄN</t>
        </is>
      </c>
      <c r="E41" t="inlineStr">
        <is>
          <t>LESSEBO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68507-2021</t>
        </is>
      </c>
      <c r="B42" s="1" t="n">
        <v>44529</v>
      </c>
      <c r="C42" s="1" t="n">
        <v>46204</v>
      </c>
      <c r="D42" t="inlineStr">
        <is>
          <t>KRONOBERGS LÄN</t>
        </is>
      </c>
      <c r="E42" t="inlineStr">
        <is>
          <t>LESSEBO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24478-2024</t>
        </is>
      </c>
      <c r="B43" s="1" t="n">
        <v>45459</v>
      </c>
      <c r="C43" s="1" t="n">
        <v>46204</v>
      </c>
      <c r="D43" t="inlineStr">
        <is>
          <t>KRONOBERGS LÄN</t>
        </is>
      </c>
      <c r="E43" t="inlineStr">
        <is>
          <t>LESSEBO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1367-2023</t>
        </is>
      </c>
      <c r="B44" s="1" t="n">
        <v>44936</v>
      </c>
      <c r="C44" s="1" t="n">
        <v>46204</v>
      </c>
      <c r="D44" t="inlineStr">
        <is>
          <t>KRONOBERGS LÄN</t>
        </is>
      </c>
      <c r="E44" t="inlineStr">
        <is>
          <t>LESSEBO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30966-2023</t>
        </is>
      </c>
      <c r="B45" s="1" t="n">
        <v>45113</v>
      </c>
      <c r="C45" s="1" t="n">
        <v>46204</v>
      </c>
      <c r="D45" t="inlineStr">
        <is>
          <t>KRONOBERGS LÄN</t>
        </is>
      </c>
      <c r="E45" t="inlineStr">
        <is>
          <t>LESSEBO</t>
        </is>
      </c>
      <c r="G45" t="n">
        <v>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59320-2024</t>
        </is>
      </c>
      <c r="B46" s="1" t="n">
        <v>45637</v>
      </c>
      <c r="C46" s="1" t="n">
        <v>46204</v>
      </c>
      <c r="D46" t="inlineStr">
        <is>
          <t>KRONOBERGS LÄN</t>
        </is>
      </c>
      <c r="E46" t="inlineStr">
        <is>
          <t>LESSEBO</t>
        </is>
      </c>
      <c r="F46" t="inlineStr">
        <is>
          <t>Sveaskog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27713-2022</t>
        </is>
      </c>
      <c r="B47" s="1" t="n">
        <v>44743</v>
      </c>
      <c r="C47" s="1" t="n">
        <v>46204</v>
      </c>
      <c r="D47" t="inlineStr">
        <is>
          <t>KRONOBERGS LÄN</t>
        </is>
      </c>
      <c r="E47" t="inlineStr">
        <is>
          <t>LESSEBO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15203-2023</t>
        </is>
      </c>
      <c r="B48" s="1" t="n">
        <v>45017</v>
      </c>
      <c r="C48" s="1" t="n">
        <v>46204</v>
      </c>
      <c r="D48" t="inlineStr">
        <is>
          <t>KRONOBERGS LÄN</t>
        </is>
      </c>
      <c r="E48" t="inlineStr">
        <is>
          <t>LESSEBO</t>
        </is>
      </c>
      <c r="F48" t="inlineStr">
        <is>
          <t>Sveaskog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15204-2023</t>
        </is>
      </c>
      <c r="B49" s="1" t="n">
        <v>45017</v>
      </c>
      <c r="C49" s="1" t="n">
        <v>46204</v>
      </c>
      <c r="D49" t="inlineStr">
        <is>
          <t>KRONOBERGS LÄN</t>
        </is>
      </c>
      <c r="E49" t="inlineStr">
        <is>
          <t>LESSEBO</t>
        </is>
      </c>
      <c r="F49" t="inlineStr">
        <is>
          <t>Sveaskog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8655-2025</t>
        </is>
      </c>
      <c r="B50" s="1" t="n">
        <v>45710</v>
      </c>
      <c r="C50" s="1" t="n">
        <v>46204</v>
      </c>
      <c r="D50" t="inlineStr">
        <is>
          <t>KRONOBERGS LÄN</t>
        </is>
      </c>
      <c r="E50" t="inlineStr">
        <is>
          <t>LESSEBO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43453-2024</t>
        </is>
      </c>
      <c r="B51" s="1" t="n">
        <v>45568</v>
      </c>
      <c r="C51" s="1" t="n">
        <v>46204</v>
      </c>
      <c r="D51" t="inlineStr">
        <is>
          <t>KRONOBERGS LÄN</t>
        </is>
      </c>
      <c r="E51" t="inlineStr">
        <is>
          <t>LESSEBO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859-2025</t>
        </is>
      </c>
      <c r="B52" s="1" t="n">
        <v>45665</v>
      </c>
      <c r="C52" s="1" t="n">
        <v>46204</v>
      </c>
      <c r="D52" t="inlineStr">
        <is>
          <t>KRONOBERGS LÄN</t>
        </is>
      </c>
      <c r="E52" t="inlineStr">
        <is>
          <t>LESSEBO</t>
        </is>
      </c>
      <c r="F52" t="inlineStr">
        <is>
          <t>Sveaskog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45838-2022</t>
        </is>
      </c>
      <c r="B53" s="1" t="n">
        <v>44846</v>
      </c>
      <c r="C53" s="1" t="n">
        <v>46204</v>
      </c>
      <c r="D53" t="inlineStr">
        <is>
          <t>KRONOBERGS LÄN</t>
        </is>
      </c>
      <c r="E53" t="inlineStr">
        <is>
          <t>LESSEBO</t>
        </is>
      </c>
      <c r="G53" t="n">
        <v>4.4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15180-2023</t>
        </is>
      </c>
      <c r="B54" s="1" t="n">
        <v>45016</v>
      </c>
      <c r="C54" s="1" t="n">
        <v>46204</v>
      </c>
      <c r="D54" t="inlineStr">
        <is>
          <t>KRONOBERGS LÄN</t>
        </is>
      </c>
      <c r="E54" t="inlineStr">
        <is>
          <t>LESSEBO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17836-2023</t>
        </is>
      </c>
      <c r="B55" s="1" t="n">
        <v>45037</v>
      </c>
      <c r="C55" s="1" t="n">
        <v>46204</v>
      </c>
      <c r="D55" t="inlineStr">
        <is>
          <t>KRONOBERGS LÄN</t>
        </is>
      </c>
      <c r="E55" t="inlineStr">
        <is>
          <t>LESSEBO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30914-2022</t>
        </is>
      </c>
      <c r="B56" s="1" t="n">
        <v>44767</v>
      </c>
      <c r="C56" s="1" t="n">
        <v>46204</v>
      </c>
      <c r="D56" t="inlineStr">
        <is>
          <t>KRONOBERGS LÄN</t>
        </is>
      </c>
      <c r="E56" t="inlineStr">
        <is>
          <t>LESSEBO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20854-2025</t>
        </is>
      </c>
      <c r="B57" s="1" t="n">
        <v>45777</v>
      </c>
      <c r="C57" s="1" t="n">
        <v>46204</v>
      </c>
      <c r="D57" t="inlineStr">
        <is>
          <t>KRONOBERGS LÄN</t>
        </is>
      </c>
      <c r="E57" t="inlineStr">
        <is>
          <t>LESSEBO</t>
        </is>
      </c>
      <c r="F57" t="inlineStr">
        <is>
          <t>Sveaskog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20853-2025</t>
        </is>
      </c>
      <c r="B58" s="1" t="n">
        <v>45777</v>
      </c>
      <c r="C58" s="1" t="n">
        <v>46204</v>
      </c>
      <c r="D58" t="inlineStr">
        <is>
          <t>KRONOBERGS LÄN</t>
        </is>
      </c>
      <c r="E58" t="inlineStr">
        <is>
          <t>LESSEBO</t>
        </is>
      </c>
      <c r="F58" t="inlineStr">
        <is>
          <t>Sveaskog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19501-2022</t>
        </is>
      </c>
      <c r="B59" s="1" t="n">
        <v>44693</v>
      </c>
      <c r="C59" s="1" t="n">
        <v>46204</v>
      </c>
      <c r="D59" t="inlineStr">
        <is>
          <t>KRONOBERGS LÄN</t>
        </is>
      </c>
      <c r="E59" t="inlineStr">
        <is>
          <t>LESSEBO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7957-2023</t>
        </is>
      </c>
      <c r="B60" s="1" t="n">
        <v>44973</v>
      </c>
      <c r="C60" s="1" t="n">
        <v>46204</v>
      </c>
      <c r="D60" t="inlineStr">
        <is>
          <t>KRONOBERGS LÄN</t>
        </is>
      </c>
      <c r="E60" t="inlineStr">
        <is>
          <t>LESSEBO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30527-2025</t>
        </is>
      </c>
      <c r="B61" s="1" t="n">
        <v>45831</v>
      </c>
      <c r="C61" s="1" t="n">
        <v>46204</v>
      </c>
      <c r="D61" t="inlineStr">
        <is>
          <t>KRONOBERGS LÄN</t>
        </is>
      </c>
      <c r="E61" t="inlineStr">
        <is>
          <t>LESSEBO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50154-2022</t>
        </is>
      </c>
      <c r="B62" s="1" t="n">
        <v>44865</v>
      </c>
      <c r="C62" s="1" t="n">
        <v>46204</v>
      </c>
      <c r="D62" t="inlineStr">
        <is>
          <t>KRONOBERGS LÄN</t>
        </is>
      </c>
      <c r="E62" t="inlineStr">
        <is>
          <t>LESSEBO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29767-2023</t>
        </is>
      </c>
      <c r="B63" s="1" t="n">
        <v>45107</v>
      </c>
      <c r="C63" s="1" t="n">
        <v>46204</v>
      </c>
      <c r="D63" t="inlineStr">
        <is>
          <t>KRONOBERGS LÄN</t>
        </is>
      </c>
      <c r="E63" t="inlineStr">
        <is>
          <t>LESSEBO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32712-2025</t>
        </is>
      </c>
      <c r="B64" s="1" t="n">
        <v>45839</v>
      </c>
      <c r="C64" s="1" t="n">
        <v>46204</v>
      </c>
      <c r="D64" t="inlineStr">
        <is>
          <t>KRONOBERGS LÄN</t>
        </is>
      </c>
      <c r="E64" t="inlineStr">
        <is>
          <t>LESSEBO</t>
        </is>
      </c>
      <c r="F64" t="inlineStr">
        <is>
          <t>Sveaskog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8438-2026</t>
        </is>
      </c>
      <c r="B65" s="1" t="n">
        <v>46065</v>
      </c>
      <c r="C65" s="1" t="n">
        <v>46204</v>
      </c>
      <c r="D65" t="inlineStr">
        <is>
          <t>KRONOBERGS LÄN</t>
        </is>
      </c>
      <c r="E65" t="inlineStr">
        <is>
          <t>LESSEBO</t>
        </is>
      </c>
      <c r="F65" t="inlineStr">
        <is>
          <t>Sveaskog</t>
        </is>
      </c>
      <c r="G65" t="n">
        <v>4.5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10047-2024</t>
        </is>
      </c>
      <c r="B66" s="1" t="n">
        <v>45364</v>
      </c>
      <c r="C66" s="1" t="n">
        <v>46204</v>
      </c>
      <c r="D66" t="inlineStr">
        <is>
          <t>KRONOBERGS LÄN</t>
        </is>
      </c>
      <c r="E66" t="inlineStr">
        <is>
          <t>LESSEBO</t>
        </is>
      </c>
      <c r="F66" t="inlineStr">
        <is>
          <t>Övriga Aktiebolag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41905-2022</t>
        </is>
      </c>
      <c r="B67" s="1" t="n">
        <v>44830</v>
      </c>
      <c r="C67" s="1" t="n">
        <v>46204</v>
      </c>
      <c r="D67" t="inlineStr">
        <is>
          <t>KRONOBERGS LÄN</t>
        </is>
      </c>
      <c r="E67" t="inlineStr">
        <is>
          <t>LESSEBO</t>
        </is>
      </c>
      <c r="F67" t="inlineStr">
        <is>
          <t>Sveaskog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39884-2025</t>
        </is>
      </c>
      <c r="B68" s="1" t="n">
        <v>45891</v>
      </c>
      <c r="C68" s="1" t="n">
        <v>46204</v>
      </c>
      <c r="D68" t="inlineStr">
        <is>
          <t>KRONOBERGS LÄN</t>
        </is>
      </c>
      <c r="E68" t="inlineStr">
        <is>
          <t>LESSEBO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39549-2025</t>
        </is>
      </c>
      <c r="B69" s="1" t="n">
        <v>45890</v>
      </c>
      <c r="C69" s="1" t="n">
        <v>46204</v>
      </c>
      <c r="D69" t="inlineStr">
        <is>
          <t>KRONOBERGS LÄN</t>
        </is>
      </c>
      <c r="E69" t="inlineStr">
        <is>
          <t>LESSEBO</t>
        </is>
      </c>
      <c r="G69" t="n">
        <v>7.2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3955-2022</t>
        </is>
      </c>
      <c r="B70" s="1" t="n">
        <v>44587</v>
      </c>
      <c r="C70" s="1" t="n">
        <v>46204</v>
      </c>
      <c r="D70" t="inlineStr">
        <is>
          <t>KRONOBERGS LÄN</t>
        </is>
      </c>
      <c r="E70" t="inlineStr">
        <is>
          <t>LESSEBO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39750-2025</t>
        </is>
      </c>
      <c r="B71" s="1" t="n">
        <v>45891</v>
      </c>
      <c r="C71" s="1" t="n">
        <v>46204</v>
      </c>
      <c r="D71" t="inlineStr">
        <is>
          <t>KRONOBERGS LÄN</t>
        </is>
      </c>
      <c r="E71" t="inlineStr">
        <is>
          <t>LESSEBO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60358-2022</t>
        </is>
      </c>
      <c r="B72" s="1" t="n">
        <v>44910</v>
      </c>
      <c r="C72" s="1" t="n">
        <v>46204</v>
      </c>
      <c r="D72" t="inlineStr">
        <is>
          <t>KRONOBERGS LÄN</t>
        </is>
      </c>
      <c r="E72" t="inlineStr">
        <is>
          <t>LESSEBO</t>
        </is>
      </c>
      <c r="G72" t="n">
        <v>4.5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17517-2023</t>
        </is>
      </c>
      <c r="B73" s="1" t="n">
        <v>45036</v>
      </c>
      <c r="C73" s="1" t="n">
        <v>46204</v>
      </c>
      <c r="D73" t="inlineStr">
        <is>
          <t>KRONOBERGS LÄN</t>
        </is>
      </c>
      <c r="E73" t="inlineStr">
        <is>
          <t>LESSEBO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35904-2025</t>
        </is>
      </c>
      <c r="B74" s="1" t="n">
        <v>45862</v>
      </c>
      <c r="C74" s="1" t="n">
        <v>46204</v>
      </c>
      <c r="D74" t="inlineStr">
        <is>
          <t>KRONOBERGS LÄN</t>
        </is>
      </c>
      <c r="E74" t="inlineStr">
        <is>
          <t>LESSEBO</t>
        </is>
      </c>
      <c r="F74" t="inlineStr">
        <is>
          <t>Sveaskog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20541-2024</t>
        </is>
      </c>
      <c r="B75" s="1" t="n">
        <v>45436</v>
      </c>
      <c r="C75" s="1" t="n">
        <v>46204</v>
      </c>
      <c r="D75" t="inlineStr">
        <is>
          <t>KRONOBERGS LÄN</t>
        </is>
      </c>
      <c r="E75" t="inlineStr">
        <is>
          <t>LESSEBO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64635-2023</t>
        </is>
      </c>
      <c r="B76" s="1" t="n">
        <v>45281</v>
      </c>
      <c r="C76" s="1" t="n">
        <v>46204</v>
      </c>
      <c r="D76" t="inlineStr">
        <is>
          <t>KRONOBERGS LÄN</t>
        </is>
      </c>
      <c r="E76" t="inlineStr">
        <is>
          <t>LESSEBO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14584-2023</t>
        </is>
      </c>
      <c r="B77" s="1" t="n">
        <v>45013</v>
      </c>
      <c r="C77" s="1" t="n">
        <v>46204</v>
      </c>
      <c r="D77" t="inlineStr">
        <is>
          <t>KRONOBERGS LÄN</t>
        </is>
      </c>
      <c r="E77" t="inlineStr">
        <is>
          <t>LESSEBO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73140-2021</t>
        </is>
      </c>
      <c r="B78" s="1" t="n">
        <v>44550</v>
      </c>
      <c r="C78" s="1" t="n">
        <v>46204</v>
      </c>
      <c r="D78" t="inlineStr">
        <is>
          <t>KRONOBERGS LÄN</t>
        </is>
      </c>
      <c r="E78" t="inlineStr">
        <is>
          <t>LESSEBO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35909-2025</t>
        </is>
      </c>
      <c r="B79" s="1" t="n">
        <v>45862</v>
      </c>
      <c r="C79" s="1" t="n">
        <v>46204</v>
      </c>
      <c r="D79" t="inlineStr">
        <is>
          <t>KRONOBERGS LÄN</t>
        </is>
      </c>
      <c r="E79" t="inlineStr">
        <is>
          <t>LESSEBO</t>
        </is>
      </c>
      <c r="F79" t="inlineStr">
        <is>
          <t>Sveaskog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35899-2025</t>
        </is>
      </c>
      <c r="B80" s="1" t="n">
        <v>45862</v>
      </c>
      <c r="C80" s="1" t="n">
        <v>46204</v>
      </c>
      <c r="D80" t="inlineStr">
        <is>
          <t>KRONOBERGS LÄN</t>
        </is>
      </c>
      <c r="E80" t="inlineStr">
        <is>
          <t>LESSEBO</t>
        </is>
      </c>
      <c r="F80" t="inlineStr">
        <is>
          <t>Sveaskog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30405-2023</t>
        </is>
      </c>
      <c r="B81" s="1" t="n">
        <v>45111</v>
      </c>
      <c r="C81" s="1" t="n">
        <v>46204</v>
      </c>
      <c r="D81" t="inlineStr">
        <is>
          <t>KRONOBERGS LÄN</t>
        </is>
      </c>
      <c r="E81" t="inlineStr">
        <is>
          <t>LESSEBO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10189-2026</t>
        </is>
      </c>
      <c r="B82" s="1" t="n">
        <v>46076</v>
      </c>
      <c r="C82" s="1" t="n">
        <v>46204</v>
      </c>
      <c r="D82" t="inlineStr">
        <is>
          <t>KRONOBERGS LÄN</t>
        </is>
      </c>
      <c r="E82" t="inlineStr">
        <is>
          <t>LESSEBO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3239-2025</t>
        </is>
      </c>
      <c r="B83" s="1" t="n">
        <v>45679</v>
      </c>
      <c r="C83" s="1" t="n">
        <v>46204</v>
      </c>
      <c r="D83" t="inlineStr">
        <is>
          <t>KRONOBERGS LÄN</t>
        </is>
      </c>
      <c r="E83" t="inlineStr">
        <is>
          <t>LESSEBO</t>
        </is>
      </c>
      <c r="F83" t="inlineStr">
        <is>
          <t>Kommuner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52525-2023</t>
        </is>
      </c>
      <c r="B84" s="1" t="n">
        <v>45225</v>
      </c>
      <c r="C84" s="1" t="n">
        <v>46204</v>
      </c>
      <c r="D84" t="inlineStr">
        <is>
          <t>KRONOBERGS LÄN</t>
        </is>
      </c>
      <c r="E84" t="inlineStr">
        <is>
          <t>LESSEBO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43809-2025</t>
        </is>
      </c>
      <c r="B85" s="1" t="n">
        <v>45912</v>
      </c>
      <c r="C85" s="1" t="n">
        <v>46204</v>
      </c>
      <c r="D85" t="inlineStr">
        <is>
          <t>KRONOBERGS LÄN</t>
        </is>
      </c>
      <c r="E85" t="inlineStr">
        <is>
          <t>LESSEBO</t>
        </is>
      </c>
      <c r="G85" t="n">
        <v>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51191-2023</t>
        </is>
      </c>
      <c r="B86" s="1" t="n">
        <v>45219</v>
      </c>
      <c r="C86" s="1" t="n">
        <v>46204</v>
      </c>
      <c r="D86" t="inlineStr">
        <is>
          <t>KRONOBERGS LÄN</t>
        </is>
      </c>
      <c r="E86" t="inlineStr">
        <is>
          <t>LESSEBO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44904-2025</t>
        </is>
      </c>
      <c r="B87" s="1" t="n">
        <v>45918</v>
      </c>
      <c r="C87" s="1" t="n">
        <v>46204</v>
      </c>
      <c r="D87" t="inlineStr">
        <is>
          <t>KRONOBERGS LÄN</t>
        </is>
      </c>
      <c r="E87" t="inlineStr">
        <is>
          <t>LESSEBO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44899-2025</t>
        </is>
      </c>
      <c r="B88" s="1" t="n">
        <v>45918</v>
      </c>
      <c r="C88" s="1" t="n">
        <v>46204</v>
      </c>
      <c r="D88" t="inlineStr">
        <is>
          <t>KRONOBERGS LÄN</t>
        </is>
      </c>
      <c r="E88" t="inlineStr">
        <is>
          <t>LESSEBO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56467-2024</t>
        </is>
      </c>
      <c r="B89" s="1" t="n">
        <v>45625</v>
      </c>
      <c r="C89" s="1" t="n">
        <v>46204</v>
      </c>
      <c r="D89" t="inlineStr">
        <is>
          <t>KRONOBERGS LÄN</t>
        </is>
      </c>
      <c r="E89" t="inlineStr">
        <is>
          <t>LESSEBO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10286-2026</t>
        </is>
      </c>
      <c r="B90" s="1" t="n">
        <v>46076</v>
      </c>
      <c r="C90" s="1" t="n">
        <v>46204</v>
      </c>
      <c r="D90" t="inlineStr">
        <is>
          <t>KRONOBERGS LÄN</t>
        </is>
      </c>
      <c r="E90" t="inlineStr">
        <is>
          <t>LESSEBO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10185-2026</t>
        </is>
      </c>
      <c r="B91" s="1" t="n">
        <v>46076</v>
      </c>
      <c r="C91" s="1" t="n">
        <v>46204</v>
      </c>
      <c r="D91" t="inlineStr">
        <is>
          <t>KRONOBERGS LÄN</t>
        </is>
      </c>
      <c r="E91" t="inlineStr">
        <is>
          <t>LESSEBO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3876-2024</t>
        </is>
      </c>
      <c r="B92" s="1" t="n">
        <v>45322</v>
      </c>
      <c r="C92" s="1" t="n">
        <v>46204</v>
      </c>
      <c r="D92" t="inlineStr">
        <is>
          <t>KRONOBERGS LÄN</t>
        </is>
      </c>
      <c r="E92" t="inlineStr">
        <is>
          <t>LESSEBO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1490-2025</t>
        </is>
      </c>
      <c r="B93" s="1" t="n">
        <v>45670</v>
      </c>
      <c r="C93" s="1" t="n">
        <v>46204</v>
      </c>
      <c r="D93" t="inlineStr">
        <is>
          <t>KRONOBERGS LÄN</t>
        </is>
      </c>
      <c r="E93" t="inlineStr">
        <is>
          <t>LESSEBO</t>
        </is>
      </c>
      <c r="F93" t="inlineStr">
        <is>
          <t>Sveaskog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54541-2023</t>
        </is>
      </c>
      <c r="B94" s="1" t="n">
        <v>45233</v>
      </c>
      <c r="C94" s="1" t="n">
        <v>46204</v>
      </c>
      <c r="D94" t="inlineStr">
        <is>
          <t>KRONOBERGS LÄN</t>
        </is>
      </c>
      <c r="E94" t="inlineStr">
        <is>
          <t>LESSEBO</t>
        </is>
      </c>
      <c r="F94" t="inlineStr">
        <is>
          <t>Sveaskog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8174-2025</t>
        </is>
      </c>
      <c r="B95" s="1" t="n">
        <v>45708</v>
      </c>
      <c r="C95" s="1" t="n">
        <v>46204</v>
      </c>
      <c r="D95" t="inlineStr">
        <is>
          <t>KRONOBERGS LÄN</t>
        </is>
      </c>
      <c r="E95" t="inlineStr">
        <is>
          <t>LESSEBO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51189-2023</t>
        </is>
      </c>
      <c r="B96" s="1" t="n">
        <v>45219</v>
      </c>
      <c r="C96" s="1" t="n">
        <v>46204</v>
      </c>
      <c r="D96" t="inlineStr">
        <is>
          <t>KRONOBERGS LÄN</t>
        </is>
      </c>
      <c r="E96" t="inlineStr">
        <is>
          <t>LESSEBO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48429-2025</t>
        </is>
      </c>
      <c r="B97" s="1" t="n">
        <v>45934</v>
      </c>
      <c r="C97" s="1" t="n">
        <v>46204</v>
      </c>
      <c r="D97" t="inlineStr">
        <is>
          <t>KRONOBERGS LÄN</t>
        </is>
      </c>
      <c r="E97" t="inlineStr">
        <is>
          <t>LESSEBO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48433-2025</t>
        </is>
      </c>
      <c r="B98" s="1" t="n">
        <v>45934</v>
      </c>
      <c r="C98" s="1" t="n">
        <v>46204</v>
      </c>
      <c r="D98" t="inlineStr">
        <is>
          <t>KRONOBERGS LÄN</t>
        </is>
      </c>
      <c r="E98" t="inlineStr">
        <is>
          <t>LESSEBO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17729-2025</t>
        </is>
      </c>
      <c r="B99" s="1" t="n">
        <v>45758</v>
      </c>
      <c r="C99" s="1" t="n">
        <v>46204</v>
      </c>
      <c r="D99" t="inlineStr">
        <is>
          <t>KRONOBERGS LÄN</t>
        </is>
      </c>
      <c r="E99" t="inlineStr">
        <is>
          <t>LESSEBO</t>
        </is>
      </c>
      <c r="F99" t="inlineStr">
        <is>
          <t>Sveaskog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8690-2023</t>
        </is>
      </c>
      <c r="B100" s="1" t="n">
        <v>44978</v>
      </c>
      <c r="C100" s="1" t="n">
        <v>46204</v>
      </c>
      <c r="D100" t="inlineStr">
        <is>
          <t>KRONOBERGS LÄN</t>
        </is>
      </c>
      <c r="E100" t="inlineStr">
        <is>
          <t>LESSEBO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49298-2025</t>
        </is>
      </c>
      <c r="B101" s="1" t="n">
        <v>45938</v>
      </c>
      <c r="C101" s="1" t="n">
        <v>46204</v>
      </c>
      <c r="D101" t="inlineStr">
        <is>
          <t>KRONOBERGS LÄN</t>
        </is>
      </c>
      <c r="E101" t="inlineStr">
        <is>
          <t>LESSEBO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20443-2025</t>
        </is>
      </c>
      <c r="B102" s="1" t="n">
        <v>45775</v>
      </c>
      <c r="C102" s="1" t="n">
        <v>46204</v>
      </c>
      <c r="D102" t="inlineStr">
        <is>
          <t>KRONOBERGS LÄN</t>
        </is>
      </c>
      <c r="E102" t="inlineStr">
        <is>
          <t>LESSEBO</t>
        </is>
      </c>
      <c r="F102" t="inlineStr">
        <is>
          <t>Sveaskog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13347-2026</t>
        </is>
      </c>
      <c r="B103" s="1" t="n">
        <v>46094</v>
      </c>
      <c r="C103" s="1" t="n">
        <v>46204</v>
      </c>
      <c r="D103" t="inlineStr">
        <is>
          <t>KRONOBERGS LÄN</t>
        </is>
      </c>
      <c r="E103" t="inlineStr">
        <is>
          <t>LESSEBO</t>
        </is>
      </c>
      <c r="F103" t="inlineStr">
        <is>
          <t>Kommuner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57519-2022</t>
        </is>
      </c>
      <c r="B104" s="1" t="n">
        <v>44896</v>
      </c>
      <c r="C104" s="1" t="n">
        <v>46204</v>
      </c>
      <c r="D104" t="inlineStr">
        <is>
          <t>KRONOBERGS LÄN</t>
        </is>
      </c>
      <c r="E104" t="inlineStr">
        <is>
          <t>LESSEBO</t>
        </is>
      </c>
      <c r="G104" t="n">
        <v>6.6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56475-2024</t>
        </is>
      </c>
      <c r="B105" s="1" t="n">
        <v>45625</v>
      </c>
      <c r="C105" s="1" t="n">
        <v>46204</v>
      </c>
      <c r="D105" t="inlineStr">
        <is>
          <t>KRONOBERGS LÄN</t>
        </is>
      </c>
      <c r="E105" t="inlineStr">
        <is>
          <t>LESSEBO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65137-2023</t>
        </is>
      </c>
      <c r="B106" s="1" t="n">
        <v>45288</v>
      </c>
      <c r="C106" s="1" t="n">
        <v>46204</v>
      </c>
      <c r="D106" t="inlineStr">
        <is>
          <t>KRONOBERGS LÄN</t>
        </is>
      </c>
      <c r="E106" t="inlineStr">
        <is>
          <t>LESSEBO</t>
        </is>
      </c>
      <c r="G106" t="n">
        <v>5.4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52031-2025</t>
        </is>
      </c>
      <c r="B107" s="1" t="n">
        <v>45952</v>
      </c>
      <c r="C107" s="1" t="n">
        <v>46204</v>
      </c>
      <c r="D107" t="inlineStr">
        <is>
          <t>KRONOBERGS LÄN</t>
        </is>
      </c>
      <c r="E107" t="inlineStr">
        <is>
          <t>LESSEBO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20824-2023</t>
        </is>
      </c>
      <c r="B108" s="1" t="n">
        <v>45058</v>
      </c>
      <c r="C108" s="1" t="n">
        <v>46204</v>
      </c>
      <c r="D108" t="inlineStr">
        <is>
          <t>KRONOBERGS LÄN</t>
        </is>
      </c>
      <c r="E108" t="inlineStr">
        <is>
          <t>LESSEBO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17204-2025</t>
        </is>
      </c>
      <c r="B109" s="1" t="n">
        <v>45756</v>
      </c>
      <c r="C109" s="1" t="n">
        <v>46204</v>
      </c>
      <c r="D109" t="inlineStr">
        <is>
          <t>KRONOBERGS LÄN</t>
        </is>
      </c>
      <c r="E109" t="inlineStr">
        <is>
          <t>LESSEBO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52537-2025</t>
        </is>
      </c>
      <c r="B110" s="1" t="n">
        <v>45954</v>
      </c>
      <c r="C110" s="1" t="n">
        <v>46204</v>
      </c>
      <c r="D110" t="inlineStr">
        <is>
          <t>KRONOBERGS LÄN</t>
        </is>
      </c>
      <c r="E110" t="inlineStr">
        <is>
          <t>LESSEBO</t>
        </is>
      </c>
      <c r="F110" t="inlineStr">
        <is>
          <t>Sveaskog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27191-2022</t>
        </is>
      </c>
      <c r="B111" s="1" t="n">
        <v>44741</v>
      </c>
      <c r="C111" s="1" t="n">
        <v>46204</v>
      </c>
      <c r="D111" t="inlineStr">
        <is>
          <t>KRONOBERGS LÄN</t>
        </is>
      </c>
      <c r="E111" t="inlineStr">
        <is>
          <t>LESSEBO</t>
        </is>
      </c>
      <c r="G111" t="n">
        <v>4.5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52531-2025</t>
        </is>
      </c>
      <c r="B112" s="1" t="n">
        <v>45954</v>
      </c>
      <c r="C112" s="1" t="n">
        <v>46204</v>
      </c>
      <c r="D112" t="inlineStr">
        <is>
          <t>KRONOBERGS LÄN</t>
        </is>
      </c>
      <c r="E112" t="inlineStr">
        <is>
          <t>LESSEBO</t>
        </is>
      </c>
      <c r="F112" t="inlineStr">
        <is>
          <t>Sveaskog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52532-2025</t>
        </is>
      </c>
      <c r="B113" s="1" t="n">
        <v>45954</v>
      </c>
      <c r="C113" s="1" t="n">
        <v>46204</v>
      </c>
      <c r="D113" t="inlineStr">
        <is>
          <t>KRONOBERGS LÄN</t>
        </is>
      </c>
      <c r="E113" t="inlineStr">
        <is>
          <t>LESSEBO</t>
        </is>
      </c>
      <c r="F113" t="inlineStr">
        <is>
          <t>Sveaskog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49121-2024</t>
        </is>
      </c>
      <c r="B114" s="1" t="n">
        <v>45594</v>
      </c>
      <c r="C114" s="1" t="n">
        <v>46204</v>
      </c>
      <c r="D114" t="inlineStr">
        <is>
          <t>KRONOBERGS LÄN</t>
        </is>
      </c>
      <c r="E114" t="inlineStr">
        <is>
          <t>LESSEBO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52546-2025</t>
        </is>
      </c>
      <c r="B115" s="1" t="n">
        <v>45954</v>
      </c>
      <c r="C115" s="1" t="n">
        <v>46204</v>
      </c>
      <c r="D115" t="inlineStr">
        <is>
          <t>KRONOBERGS LÄN</t>
        </is>
      </c>
      <c r="E115" t="inlineStr">
        <is>
          <t>LESSEBO</t>
        </is>
      </c>
      <c r="F115" t="inlineStr">
        <is>
          <t>Sveaskog</t>
        </is>
      </c>
      <c r="G115" t="n">
        <v>5.4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52534-2025</t>
        </is>
      </c>
      <c r="B116" s="1" t="n">
        <v>45954</v>
      </c>
      <c r="C116" s="1" t="n">
        <v>46204</v>
      </c>
      <c r="D116" t="inlineStr">
        <is>
          <t>KRONOBERGS LÄN</t>
        </is>
      </c>
      <c r="E116" t="inlineStr">
        <is>
          <t>LESSEBO</t>
        </is>
      </c>
      <c r="F116" t="inlineStr">
        <is>
          <t>Sveaskog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53122-2025</t>
        </is>
      </c>
      <c r="B117" s="1" t="n">
        <v>45958</v>
      </c>
      <c r="C117" s="1" t="n">
        <v>46204</v>
      </c>
      <c r="D117" t="inlineStr">
        <is>
          <t>KRONOBERGS LÄN</t>
        </is>
      </c>
      <c r="E117" t="inlineStr">
        <is>
          <t>LESSEBO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53522-2025</t>
        </is>
      </c>
      <c r="B118" s="1" t="n">
        <v>45960</v>
      </c>
      <c r="C118" s="1" t="n">
        <v>46204</v>
      </c>
      <c r="D118" t="inlineStr">
        <is>
          <t>KRONOBERGS LÄN</t>
        </is>
      </c>
      <c r="E118" t="inlineStr">
        <is>
          <t>LESSEBO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53571-2025</t>
        </is>
      </c>
      <c r="B119" s="1" t="n">
        <v>45960</v>
      </c>
      <c r="C119" s="1" t="n">
        <v>46204</v>
      </c>
      <c r="D119" t="inlineStr">
        <is>
          <t>KRONOBERGS LÄN</t>
        </is>
      </c>
      <c r="E119" t="inlineStr">
        <is>
          <t>LESSEBO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47396-2024</t>
        </is>
      </c>
      <c r="B120" s="1" t="n">
        <v>45587</v>
      </c>
      <c r="C120" s="1" t="n">
        <v>46204</v>
      </c>
      <c r="D120" t="inlineStr">
        <is>
          <t>KRONOBERGS LÄN</t>
        </is>
      </c>
      <c r="E120" t="inlineStr">
        <is>
          <t>LESSEBO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1897-2025</t>
        </is>
      </c>
      <c r="B121" s="1" t="n">
        <v>45671</v>
      </c>
      <c r="C121" s="1" t="n">
        <v>46204</v>
      </c>
      <c r="D121" t="inlineStr">
        <is>
          <t>KRONOBERGS LÄN</t>
        </is>
      </c>
      <c r="E121" t="inlineStr">
        <is>
          <t>LESSEBO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51175-2023</t>
        </is>
      </c>
      <c r="B122" s="1" t="n">
        <v>45219</v>
      </c>
      <c r="C122" s="1" t="n">
        <v>46204</v>
      </c>
      <c r="D122" t="inlineStr">
        <is>
          <t>KRONOBERGS LÄN</t>
        </is>
      </c>
      <c r="E122" t="inlineStr">
        <is>
          <t>LESSEBO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61995-2022</t>
        </is>
      </c>
      <c r="B123" s="1" t="n">
        <v>44918</v>
      </c>
      <c r="C123" s="1" t="n">
        <v>46204</v>
      </c>
      <c r="D123" t="inlineStr">
        <is>
          <t>KRONOBERGS LÄN</t>
        </is>
      </c>
      <c r="E123" t="inlineStr">
        <is>
          <t>LESSEBO</t>
        </is>
      </c>
      <c r="F123" t="inlineStr">
        <is>
          <t>Kommuner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49295-2025</t>
        </is>
      </c>
      <c r="B124" s="1" t="n">
        <v>45938</v>
      </c>
      <c r="C124" s="1" t="n">
        <v>46204</v>
      </c>
      <c r="D124" t="inlineStr">
        <is>
          <t>KRONOBERGS LÄN</t>
        </is>
      </c>
      <c r="E124" t="inlineStr">
        <is>
          <t>LESSEBO</t>
        </is>
      </c>
      <c r="G124" t="n">
        <v>7.4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14551-2025</t>
        </is>
      </c>
      <c r="B125" s="1" t="n">
        <v>45741</v>
      </c>
      <c r="C125" s="1" t="n">
        <v>46204</v>
      </c>
      <c r="D125" t="inlineStr">
        <is>
          <t>KRONOBERGS LÄN</t>
        </is>
      </c>
      <c r="E125" t="inlineStr">
        <is>
          <t>LESSEBO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4107-2025</t>
        </is>
      </c>
      <c r="B126" s="1" t="n">
        <v>45684</v>
      </c>
      <c r="C126" s="1" t="n">
        <v>46204</v>
      </c>
      <c r="D126" t="inlineStr">
        <is>
          <t>KRONOBERGS LÄN</t>
        </is>
      </c>
      <c r="E126" t="inlineStr">
        <is>
          <t>LESSEBO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3875-2024</t>
        </is>
      </c>
      <c r="B127" s="1" t="n">
        <v>45322</v>
      </c>
      <c r="C127" s="1" t="n">
        <v>46204</v>
      </c>
      <c r="D127" t="inlineStr">
        <is>
          <t>KRONOBERGS LÄN</t>
        </is>
      </c>
      <c r="E127" t="inlineStr">
        <is>
          <t>LESSEBO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50892-2022</t>
        </is>
      </c>
      <c r="B128" s="1" t="n">
        <v>44867</v>
      </c>
      <c r="C128" s="1" t="n">
        <v>46204</v>
      </c>
      <c r="D128" t="inlineStr">
        <is>
          <t>KRONOBERGS LÄN</t>
        </is>
      </c>
      <c r="E128" t="inlineStr">
        <is>
          <t>LESSEBO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47402-2024</t>
        </is>
      </c>
      <c r="B129" s="1" t="n">
        <v>45587</v>
      </c>
      <c r="C129" s="1" t="n">
        <v>46204</v>
      </c>
      <c r="D129" t="inlineStr">
        <is>
          <t>KRONOBERGS LÄN</t>
        </is>
      </c>
      <c r="E129" t="inlineStr">
        <is>
          <t>LESSEBO</t>
        </is>
      </c>
      <c r="G129" t="n">
        <v>5.5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4465-2024</t>
        </is>
      </c>
      <c r="B130" s="1" t="n">
        <v>45327</v>
      </c>
      <c r="C130" s="1" t="n">
        <v>46204</v>
      </c>
      <c r="D130" t="inlineStr">
        <is>
          <t>KRONOBERGS LÄN</t>
        </is>
      </c>
      <c r="E130" t="inlineStr">
        <is>
          <t>LESSEBO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4453-2024</t>
        </is>
      </c>
      <c r="B131" s="1" t="n">
        <v>45327</v>
      </c>
      <c r="C131" s="1" t="n">
        <v>46204</v>
      </c>
      <c r="D131" t="inlineStr">
        <is>
          <t>KRONOBERGS LÄN</t>
        </is>
      </c>
      <c r="E131" t="inlineStr">
        <is>
          <t>LESSEBO</t>
        </is>
      </c>
      <c r="F131" t="inlineStr">
        <is>
          <t>Kommuner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50162-2023</t>
        </is>
      </c>
      <c r="B132" s="1" t="n">
        <v>45215</v>
      </c>
      <c r="C132" s="1" t="n">
        <v>46204</v>
      </c>
      <c r="D132" t="inlineStr">
        <is>
          <t>KRONOBERGS LÄN</t>
        </is>
      </c>
      <c r="E132" t="inlineStr">
        <is>
          <t>LESSEBO</t>
        </is>
      </c>
      <c r="F132" t="inlineStr">
        <is>
          <t>Sveaskog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39389-2024</t>
        </is>
      </c>
      <c r="B133" s="1" t="n">
        <v>45551</v>
      </c>
      <c r="C133" s="1" t="n">
        <v>46204</v>
      </c>
      <c r="D133" t="inlineStr">
        <is>
          <t>KRONOBERGS LÄN</t>
        </is>
      </c>
      <c r="E133" t="inlineStr">
        <is>
          <t>LESSEBO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17552-2023</t>
        </is>
      </c>
      <c r="B134" s="1" t="n">
        <v>45036</v>
      </c>
      <c r="C134" s="1" t="n">
        <v>46204</v>
      </c>
      <c r="D134" t="inlineStr">
        <is>
          <t>KRONOBERGS LÄN</t>
        </is>
      </c>
      <c r="E134" t="inlineStr">
        <is>
          <t>LESSEBO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61638-2025</t>
        </is>
      </c>
      <c r="B135" s="1" t="n">
        <v>46002</v>
      </c>
      <c r="C135" s="1" t="n">
        <v>46204</v>
      </c>
      <c r="D135" t="inlineStr">
        <is>
          <t>KRONOBERGS LÄN</t>
        </is>
      </c>
      <c r="E135" t="inlineStr">
        <is>
          <t>LESSEBO</t>
        </is>
      </c>
      <c r="G135" t="n">
        <v>6.2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61641-2025</t>
        </is>
      </c>
      <c r="B136" s="1" t="n">
        <v>46002</v>
      </c>
      <c r="C136" s="1" t="n">
        <v>46204</v>
      </c>
      <c r="D136" t="inlineStr">
        <is>
          <t>KRONOBERGS LÄN</t>
        </is>
      </c>
      <c r="E136" t="inlineStr">
        <is>
          <t>LESSEBO</t>
        </is>
      </c>
      <c r="F136" t="inlineStr">
        <is>
          <t>Sveaskog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40912-2023</t>
        </is>
      </c>
      <c r="B137" s="1" t="n">
        <v>45173</v>
      </c>
      <c r="C137" s="1" t="n">
        <v>46204</v>
      </c>
      <c r="D137" t="inlineStr">
        <is>
          <t>KRONOBERGS LÄN</t>
        </is>
      </c>
      <c r="E137" t="inlineStr">
        <is>
          <t>LESSEBO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62728-2025</t>
        </is>
      </c>
      <c r="B138" s="1" t="n">
        <v>46008</v>
      </c>
      <c r="C138" s="1" t="n">
        <v>46204</v>
      </c>
      <c r="D138" t="inlineStr">
        <is>
          <t>KRONOBERGS LÄN</t>
        </is>
      </c>
      <c r="E138" t="inlineStr">
        <is>
          <t>LESSEBO</t>
        </is>
      </c>
      <c r="F138" t="inlineStr">
        <is>
          <t>Sveaskog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18968-2024</t>
        </is>
      </c>
      <c r="B139" s="1" t="n">
        <v>45427</v>
      </c>
      <c r="C139" s="1" t="n">
        <v>46204</v>
      </c>
      <c r="D139" t="inlineStr">
        <is>
          <t>KRONOBERGS LÄN</t>
        </is>
      </c>
      <c r="E139" t="inlineStr">
        <is>
          <t>LESSEBO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53341-2021</t>
        </is>
      </c>
      <c r="B140" s="1" t="n">
        <v>44468</v>
      </c>
      <c r="C140" s="1" t="n">
        <v>46204</v>
      </c>
      <c r="D140" t="inlineStr">
        <is>
          <t>KRONOBERGS LÄN</t>
        </is>
      </c>
      <c r="E140" t="inlineStr">
        <is>
          <t>LESSEBO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59321-2024</t>
        </is>
      </c>
      <c r="B141" s="1" t="n">
        <v>45637</v>
      </c>
      <c r="C141" s="1" t="n">
        <v>46204</v>
      </c>
      <c r="D141" t="inlineStr">
        <is>
          <t>KRONOBERGS LÄN</t>
        </is>
      </c>
      <c r="E141" t="inlineStr">
        <is>
          <t>LESSEBO</t>
        </is>
      </c>
      <c r="F141" t="inlineStr">
        <is>
          <t>Sveaskog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17203-2025</t>
        </is>
      </c>
      <c r="B142" s="1" t="n">
        <v>45756</v>
      </c>
      <c r="C142" s="1" t="n">
        <v>46204</v>
      </c>
      <c r="D142" t="inlineStr">
        <is>
          <t>KRONOBERGS LÄN</t>
        </is>
      </c>
      <c r="E142" t="inlineStr">
        <is>
          <t>LESSEBO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1022-2026</t>
        </is>
      </c>
      <c r="B143" s="1" t="n">
        <v>46030</v>
      </c>
      <c r="C143" s="1" t="n">
        <v>46204</v>
      </c>
      <c r="D143" t="inlineStr">
        <is>
          <t>KRONOBERGS LÄN</t>
        </is>
      </c>
      <c r="E143" t="inlineStr">
        <is>
          <t>LESSEBO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1016-2026</t>
        </is>
      </c>
      <c r="B144" s="1" t="n">
        <v>46030</v>
      </c>
      <c r="C144" s="1" t="n">
        <v>46204</v>
      </c>
      <c r="D144" t="inlineStr">
        <is>
          <t>KRONOBERGS LÄN</t>
        </is>
      </c>
      <c r="E144" t="inlineStr">
        <is>
          <t>LESSEBO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48639-2023</t>
        </is>
      </c>
      <c r="B145" s="1" t="n">
        <v>45202</v>
      </c>
      <c r="C145" s="1" t="n">
        <v>46204</v>
      </c>
      <c r="D145" t="inlineStr">
        <is>
          <t>KRONOBERGS LÄN</t>
        </is>
      </c>
      <c r="E145" t="inlineStr">
        <is>
          <t>LESSEBO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18624-2026</t>
        </is>
      </c>
      <c r="B146" s="1" t="n">
        <v>46127</v>
      </c>
      <c r="C146" s="1" t="n">
        <v>46204</v>
      </c>
      <c r="D146" t="inlineStr">
        <is>
          <t>KRONOBERGS LÄN</t>
        </is>
      </c>
      <c r="E146" t="inlineStr">
        <is>
          <t>LESSEBO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37933-2021</t>
        </is>
      </c>
      <c r="B147" s="1" t="n">
        <v>44403</v>
      </c>
      <c r="C147" s="1" t="n">
        <v>46204</v>
      </c>
      <c r="D147" t="inlineStr">
        <is>
          <t>KRONOBERGS LÄN</t>
        </is>
      </c>
      <c r="E147" t="inlineStr">
        <is>
          <t>LESSEBO</t>
        </is>
      </c>
      <c r="G147" t="n">
        <v>10.9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18625-2026</t>
        </is>
      </c>
      <c r="B148" s="1" t="n">
        <v>46127</v>
      </c>
      <c r="C148" s="1" t="n">
        <v>46204</v>
      </c>
      <c r="D148" t="inlineStr">
        <is>
          <t>KRONOBERGS LÄN</t>
        </is>
      </c>
      <c r="E148" t="inlineStr">
        <is>
          <t>LESSEBO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4236-2026</t>
        </is>
      </c>
      <c r="B149" s="1" t="n">
        <v>46044</v>
      </c>
      <c r="C149" s="1" t="n">
        <v>46204</v>
      </c>
      <c r="D149" t="inlineStr">
        <is>
          <t>KRONOBERGS LÄN</t>
        </is>
      </c>
      <c r="E149" t="inlineStr">
        <is>
          <t>LESSEBO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4229-2026</t>
        </is>
      </c>
      <c r="B150" s="1" t="n">
        <v>46044</v>
      </c>
      <c r="C150" s="1" t="n">
        <v>46204</v>
      </c>
      <c r="D150" t="inlineStr">
        <is>
          <t>KRONOBERGS LÄN</t>
        </is>
      </c>
      <c r="E150" t="inlineStr">
        <is>
          <t>LESSEBO</t>
        </is>
      </c>
      <c r="G150" t="n">
        <v>9.699999999999999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24269-2026</t>
        </is>
      </c>
      <c r="B151" s="1" t="n">
        <v>46169</v>
      </c>
      <c r="C151" s="1" t="n">
        <v>46204</v>
      </c>
      <c r="D151" t="inlineStr">
        <is>
          <t>KRONOBERGS LÄN</t>
        </is>
      </c>
      <c r="E151" t="inlineStr">
        <is>
          <t>LESSEBO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24271-2026</t>
        </is>
      </c>
      <c r="B152" s="1" t="n">
        <v>46169</v>
      </c>
      <c r="C152" s="1" t="n">
        <v>46204</v>
      </c>
      <c r="D152" t="inlineStr">
        <is>
          <t>KRONOBERGS LÄN</t>
        </is>
      </c>
      <c r="E152" t="inlineStr">
        <is>
          <t>LESSEBO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24272-2026</t>
        </is>
      </c>
      <c r="B153" s="1" t="n">
        <v>46169</v>
      </c>
      <c r="C153" s="1" t="n">
        <v>46204</v>
      </c>
      <c r="D153" t="inlineStr">
        <is>
          <t>KRONOBERGS LÄN</t>
        </is>
      </c>
      <c r="E153" t="inlineStr">
        <is>
          <t>LESSEBO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18464-2026</t>
        </is>
      </c>
      <c r="B154" s="1" t="n">
        <v>46127</v>
      </c>
      <c r="C154" s="1" t="n">
        <v>46204</v>
      </c>
      <c r="D154" t="inlineStr">
        <is>
          <t>KRONOBERGS LÄN</t>
        </is>
      </c>
      <c r="E154" t="inlineStr">
        <is>
          <t>LESSEBO</t>
        </is>
      </c>
      <c r="F154" t="inlineStr">
        <is>
          <t>Sveaskog</t>
        </is>
      </c>
      <c r="G154" t="n">
        <v>14.2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24275-2026</t>
        </is>
      </c>
      <c r="B155" s="1" t="n">
        <v>46169</v>
      </c>
      <c r="C155" s="1" t="n">
        <v>46204</v>
      </c>
      <c r="D155" t="inlineStr">
        <is>
          <t>KRONOBERGS LÄN</t>
        </is>
      </c>
      <c r="E155" t="inlineStr">
        <is>
          <t>LESSEBO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18466-2026</t>
        </is>
      </c>
      <c r="B156" s="1" t="n">
        <v>46127</v>
      </c>
      <c r="C156" s="1" t="n">
        <v>46204</v>
      </c>
      <c r="D156" t="inlineStr">
        <is>
          <t>KRONOBERGS LÄN</t>
        </is>
      </c>
      <c r="E156" t="inlineStr">
        <is>
          <t>LESSEBO</t>
        </is>
      </c>
      <c r="F156" t="inlineStr">
        <is>
          <t>Sveaskog</t>
        </is>
      </c>
      <c r="G156" t="n">
        <v>7.9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25169-2026</t>
        </is>
      </c>
      <c r="B157" s="1" t="n">
        <v>46175</v>
      </c>
      <c r="C157" s="1" t="n">
        <v>46204</v>
      </c>
      <c r="D157" t="inlineStr">
        <is>
          <t>KRONOBERGS LÄN</t>
        </is>
      </c>
      <c r="E157" t="inlineStr">
        <is>
          <t>LESSEBO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27574-2023</t>
        </is>
      </c>
      <c r="B158" s="1" t="n">
        <v>45097</v>
      </c>
      <c r="C158" s="1" t="n">
        <v>46204</v>
      </c>
      <c r="D158" t="inlineStr">
        <is>
          <t>KRONOBERGS LÄN</t>
        </is>
      </c>
      <c r="E158" t="inlineStr">
        <is>
          <t>LESSEBO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4839-2023</t>
        </is>
      </c>
      <c r="B159" s="1" t="n">
        <v>44955</v>
      </c>
      <c r="C159" s="1" t="n">
        <v>46204</v>
      </c>
      <c r="D159" t="inlineStr">
        <is>
          <t>KRONOBERGS LÄN</t>
        </is>
      </c>
      <c r="E159" t="inlineStr">
        <is>
          <t>LESSEBO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14549-2025</t>
        </is>
      </c>
      <c r="B160" s="1" t="n">
        <v>45741</v>
      </c>
      <c r="C160" s="1" t="n">
        <v>46204</v>
      </c>
      <c r="D160" t="inlineStr">
        <is>
          <t>KRONOBERGS LÄN</t>
        </is>
      </c>
      <c r="E160" t="inlineStr">
        <is>
          <t>LESSEBO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20056-2025</t>
        </is>
      </c>
      <c r="B161" s="1" t="n">
        <v>45772</v>
      </c>
      <c r="C161" s="1" t="n">
        <v>46204</v>
      </c>
      <c r="D161" t="inlineStr">
        <is>
          <t>KRONOBERGS LÄN</t>
        </is>
      </c>
      <c r="E161" t="inlineStr">
        <is>
          <t>LESSEBO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30600-2024</t>
        </is>
      </c>
      <c r="B162" s="1" t="n">
        <v>45493</v>
      </c>
      <c r="C162" s="1" t="n">
        <v>46204</v>
      </c>
      <c r="D162" t="inlineStr">
        <is>
          <t>KRONOBERGS LÄN</t>
        </is>
      </c>
      <c r="E162" t="inlineStr">
        <is>
          <t>LESSEBO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24171-2024</t>
        </is>
      </c>
      <c r="B163" s="1" t="n">
        <v>45456</v>
      </c>
      <c r="C163" s="1" t="n">
        <v>46204</v>
      </c>
      <c r="D163" t="inlineStr">
        <is>
          <t>KRONOBERGS LÄN</t>
        </is>
      </c>
      <c r="E163" t="inlineStr">
        <is>
          <t>LESSEBO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64865-2023</t>
        </is>
      </c>
      <c r="B164" s="1" t="n">
        <v>45282</v>
      </c>
      <c r="C164" s="1" t="n">
        <v>46204</v>
      </c>
      <c r="D164" t="inlineStr">
        <is>
          <t>KRONOBERGS LÄN</t>
        </is>
      </c>
      <c r="E164" t="inlineStr">
        <is>
          <t>LESSEBO</t>
        </is>
      </c>
      <c r="F164" t="inlineStr">
        <is>
          <t>Sveaskog</t>
        </is>
      </c>
      <c r="G164" t="n">
        <v>5.6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41900-2022</t>
        </is>
      </c>
      <c r="B165" s="1" t="n">
        <v>44830</v>
      </c>
      <c r="C165" s="1" t="n">
        <v>46204</v>
      </c>
      <c r="D165" t="inlineStr">
        <is>
          <t>KRONOBERGS LÄN</t>
        </is>
      </c>
      <c r="E165" t="inlineStr">
        <is>
          <t>LESSEBO</t>
        </is>
      </c>
      <c r="F165" t="inlineStr">
        <is>
          <t>Sveaskog</t>
        </is>
      </c>
      <c r="G165" t="n">
        <v>5.2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36895-2025</t>
        </is>
      </c>
      <c r="B166" s="1" t="n">
        <v>45874</v>
      </c>
      <c r="C166" s="1" t="n">
        <v>46204</v>
      </c>
      <c r="D166" t="inlineStr">
        <is>
          <t>KRONOBERGS LÄN</t>
        </is>
      </c>
      <c r="E166" t="inlineStr">
        <is>
          <t>LESSEBO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38303-2025</t>
        </is>
      </c>
      <c r="B167" s="1" t="n">
        <v>45883</v>
      </c>
      <c r="C167" s="1" t="n">
        <v>46204</v>
      </c>
      <c r="D167" t="inlineStr">
        <is>
          <t>KRONOBERGS LÄN</t>
        </is>
      </c>
      <c r="E167" t="inlineStr">
        <is>
          <t>LESSEBO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38227-2023</t>
        </is>
      </c>
      <c r="B168" s="1" t="n">
        <v>45161</v>
      </c>
      <c r="C168" s="1" t="n">
        <v>46204</v>
      </c>
      <c r="D168" t="inlineStr">
        <is>
          <t>KRONOBERGS LÄN</t>
        </is>
      </c>
      <c r="E168" t="inlineStr">
        <is>
          <t>LESSEBO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56471-2024</t>
        </is>
      </c>
      <c r="B169" s="1" t="n">
        <v>45625</v>
      </c>
      <c r="C169" s="1" t="n">
        <v>46204</v>
      </c>
      <c r="D169" t="inlineStr">
        <is>
          <t>KRONOBERGS LÄN</t>
        </is>
      </c>
      <c r="E169" t="inlineStr">
        <is>
          <t>LESSEBO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35332-2022</t>
        </is>
      </c>
      <c r="B170" s="1" t="n">
        <v>44798</v>
      </c>
      <c r="C170" s="1" t="n">
        <v>46204</v>
      </c>
      <c r="D170" t="inlineStr">
        <is>
          <t>KRONOBERGS LÄN</t>
        </is>
      </c>
      <c r="E170" t="inlineStr">
        <is>
          <t>LESSEBO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21917-2025</t>
        </is>
      </c>
      <c r="B171" s="1" t="n">
        <v>45784</v>
      </c>
      <c r="C171" s="1" t="n">
        <v>46204</v>
      </c>
      <c r="D171" t="inlineStr">
        <is>
          <t>KRONOBERGS LÄN</t>
        </is>
      </c>
      <c r="E171" t="inlineStr">
        <is>
          <t>LESSEBO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20825-2023</t>
        </is>
      </c>
      <c r="B172" s="1" t="n">
        <v>45058</v>
      </c>
      <c r="C172" s="1" t="n">
        <v>46204</v>
      </c>
      <c r="D172" t="inlineStr">
        <is>
          <t>KRONOBERGS LÄN</t>
        </is>
      </c>
      <c r="E172" t="inlineStr">
        <is>
          <t>LESSEBO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13751-2025</t>
        </is>
      </c>
      <c r="B173" s="1" t="n">
        <v>45737</v>
      </c>
      <c r="C173" s="1" t="n">
        <v>46204</v>
      </c>
      <c r="D173" t="inlineStr">
        <is>
          <t>KRONOBERGS LÄN</t>
        </is>
      </c>
      <c r="E173" t="inlineStr">
        <is>
          <t>LESSEBO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1894-2025</t>
        </is>
      </c>
      <c r="B174" s="1" t="n">
        <v>45671</v>
      </c>
      <c r="C174" s="1" t="n">
        <v>46204</v>
      </c>
      <c r="D174" t="inlineStr">
        <is>
          <t>KRONOBERGS LÄN</t>
        </is>
      </c>
      <c r="E174" t="inlineStr">
        <is>
          <t>LESSEBO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27405-2024</t>
        </is>
      </c>
      <c r="B175" s="1" t="n">
        <v>45474</v>
      </c>
      <c r="C175" s="1" t="n">
        <v>46204</v>
      </c>
      <c r="D175" t="inlineStr">
        <is>
          <t>KRONOBERGS LÄN</t>
        </is>
      </c>
      <c r="E175" t="inlineStr">
        <is>
          <t>LESSEBO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20855-2025</t>
        </is>
      </c>
      <c r="B176" s="1" t="n">
        <v>45777</v>
      </c>
      <c r="C176" s="1" t="n">
        <v>46204</v>
      </c>
      <c r="D176" t="inlineStr">
        <is>
          <t>KRONOBERGS LÄN</t>
        </is>
      </c>
      <c r="E176" t="inlineStr">
        <is>
          <t>LESSEBO</t>
        </is>
      </c>
      <c r="F176" t="inlineStr">
        <is>
          <t>Sveaskog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59173-2023</t>
        </is>
      </c>
      <c r="B177" s="1" t="n">
        <v>45253</v>
      </c>
      <c r="C177" s="1" t="n">
        <v>46204</v>
      </c>
      <c r="D177" t="inlineStr">
        <is>
          <t>KRONOBERGS LÄN</t>
        </is>
      </c>
      <c r="E177" t="inlineStr">
        <is>
          <t>LESSEBO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3714-2022</t>
        </is>
      </c>
      <c r="B178" s="1" t="n">
        <v>44586</v>
      </c>
      <c r="C178" s="1" t="n">
        <v>46204</v>
      </c>
      <c r="D178" t="inlineStr">
        <is>
          <t>KRONOBERGS LÄN</t>
        </is>
      </c>
      <c r="E178" t="inlineStr">
        <is>
          <t>LESSEBO</t>
        </is>
      </c>
      <c r="F178" t="inlineStr">
        <is>
          <t>Kommuner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47693-2025</t>
        </is>
      </c>
      <c r="B179" s="1" t="n">
        <v>45931</v>
      </c>
      <c r="C179" s="1" t="n">
        <v>46204</v>
      </c>
      <c r="D179" t="inlineStr">
        <is>
          <t>KRONOBERGS LÄN</t>
        </is>
      </c>
      <c r="E179" t="inlineStr">
        <is>
          <t>LESSEBO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18207-2025</t>
        </is>
      </c>
      <c r="B180" s="1" t="n">
        <v>45761</v>
      </c>
      <c r="C180" s="1" t="n">
        <v>46204</v>
      </c>
      <c r="D180" t="inlineStr">
        <is>
          <t>KRONOBERGS LÄN</t>
        </is>
      </c>
      <c r="E180" t="inlineStr">
        <is>
          <t>LESSEBO</t>
        </is>
      </c>
      <c r="F180" t="inlineStr">
        <is>
          <t>Sveaskog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18211-2025</t>
        </is>
      </c>
      <c r="B181" s="1" t="n">
        <v>45761</v>
      </c>
      <c r="C181" s="1" t="n">
        <v>46204</v>
      </c>
      <c r="D181" t="inlineStr">
        <is>
          <t>KRONOBERGS LÄN</t>
        </is>
      </c>
      <c r="E181" t="inlineStr">
        <is>
          <t>LESSEBO</t>
        </is>
      </c>
      <c r="F181" t="inlineStr">
        <is>
          <t>Sveaskog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642-2024</t>
        </is>
      </c>
      <c r="B182" s="1" t="n">
        <v>45299</v>
      </c>
      <c r="C182" s="1" t="n">
        <v>46204</v>
      </c>
      <c r="D182" t="inlineStr">
        <is>
          <t>KRONOBERGS LÄN</t>
        </is>
      </c>
      <c r="E182" t="inlineStr">
        <is>
          <t>LESSEBO</t>
        </is>
      </c>
      <c r="F182" t="inlineStr">
        <is>
          <t>Sveaskog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35894-2025</t>
        </is>
      </c>
      <c r="B183" s="1" t="n">
        <v>45862</v>
      </c>
      <c r="C183" s="1" t="n">
        <v>46204</v>
      </c>
      <c r="D183" t="inlineStr">
        <is>
          <t>KRONOBERGS LÄN</t>
        </is>
      </c>
      <c r="E183" t="inlineStr">
        <is>
          <t>LESSEBO</t>
        </is>
      </c>
      <c r="F183" t="inlineStr">
        <is>
          <t>Sveaskog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33076-2023</t>
        </is>
      </c>
      <c r="B184" s="1" t="n">
        <v>45126</v>
      </c>
      <c r="C184" s="1" t="n">
        <v>46204</v>
      </c>
      <c r="D184" t="inlineStr">
        <is>
          <t>KRONOBERGS LÄN</t>
        </is>
      </c>
      <c r="E184" t="inlineStr">
        <is>
          <t>LESSEBO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47386-2024</t>
        </is>
      </c>
      <c r="B185" s="1" t="n">
        <v>45587</v>
      </c>
      <c r="C185" s="1" t="n">
        <v>46204</v>
      </c>
      <c r="D185" t="inlineStr">
        <is>
          <t>KRONOBERGS LÄN</t>
        </is>
      </c>
      <c r="E185" t="inlineStr">
        <is>
          <t>LESSEBO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63927-2021</t>
        </is>
      </c>
      <c r="B186" s="1" t="n">
        <v>44509</v>
      </c>
      <c r="C186" s="1" t="n">
        <v>46204</v>
      </c>
      <c r="D186" t="inlineStr">
        <is>
          <t>KRONOBERGS LÄN</t>
        </is>
      </c>
      <c r="E186" t="inlineStr">
        <is>
          <t>LESSEBO</t>
        </is>
      </c>
      <c r="F186" t="inlineStr">
        <is>
          <t>Sveaskog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39603-2022</t>
        </is>
      </c>
      <c r="B187" s="1" t="n">
        <v>44818</v>
      </c>
      <c r="C187" s="1" t="n">
        <v>46204</v>
      </c>
      <c r="D187" t="inlineStr">
        <is>
          <t>KRONOBERGS LÄN</t>
        </is>
      </c>
      <c r="E187" t="inlineStr">
        <is>
          <t>LESSEBO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21311-2026</t>
        </is>
      </c>
      <c r="B188" s="1" t="n">
        <v>46147</v>
      </c>
      <c r="C188" s="1" t="n">
        <v>46204</v>
      </c>
      <c r="D188" t="inlineStr">
        <is>
          <t>KRONOBERGS LÄN</t>
        </is>
      </c>
      <c r="E188" t="inlineStr">
        <is>
          <t>LESSEBO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11843-2024</t>
        </is>
      </c>
      <c r="B189" s="1" t="n">
        <v>45376</v>
      </c>
      <c r="C189" s="1" t="n">
        <v>46204</v>
      </c>
      <c r="D189" t="inlineStr">
        <is>
          <t>KRONOBERGS LÄN</t>
        </is>
      </c>
      <c r="E189" t="inlineStr">
        <is>
          <t>LESSEBO</t>
        </is>
      </c>
      <c r="F189" t="inlineStr">
        <is>
          <t>Kommuner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14940-2024</t>
        </is>
      </c>
      <c r="B190" s="1" t="n">
        <v>45398</v>
      </c>
      <c r="C190" s="1" t="n">
        <v>46204</v>
      </c>
      <c r="D190" t="inlineStr">
        <is>
          <t>KRONOBERGS LÄN</t>
        </is>
      </c>
      <c r="E190" t="inlineStr">
        <is>
          <t>LESSEBO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4413-2022</t>
        </is>
      </c>
      <c r="B191" s="1" t="n">
        <v>44589</v>
      </c>
      <c r="C191" s="1" t="n">
        <v>46204</v>
      </c>
      <c r="D191" t="inlineStr">
        <is>
          <t>KRONOBERGS LÄN</t>
        </is>
      </c>
      <c r="E191" t="inlineStr">
        <is>
          <t>LESSEBO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27870-2026</t>
        </is>
      </c>
      <c r="B192" s="1" t="n">
        <v>46191</v>
      </c>
      <c r="C192" s="1" t="n">
        <v>46204</v>
      </c>
      <c r="D192" t="inlineStr">
        <is>
          <t>KRONOBERGS LÄN</t>
        </is>
      </c>
      <c r="E192" t="inlineStr">
        <is>
          <t>LESSEBO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27873-2026</t>
        </is>
      </c>
      <c r="B193" s="1" t="n">
        <v>46191</v>
      </c>
      <c r="C193" s="1" t="n">
        <v>46204</v>
      </c>
      <c r="D193" t="inlineStr">
        <is>
          <t>KRONOBERGS LÄN</t>
        </is>
      </c>
      <c r="E193" t="inlineStr">
        <is>
          <t>LESSEBO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3605-2024</t>
        </is>
      </c>
      <c r="B194" s="1" t="n">
        <v>45320</v>
      </c>
      <c r="C194" s="1" t="n">
        <v>46204</v>
      </c>
      <c r="D194" t="inlineStr">
        <is>
          <t>KRONOBERGS LÄN</t>
        </is>
      </c>
      <c r="E194" t="inlineStr">
        <is>
          <t>LESSEBO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34386-2023</t>
        </is>
      </c>
      <c r="B195" s="1" t="n">
        <v>45139</v>
      </c>
      <c r="C195" s="1" t="n">
        <v>46204</v>
      </c>
      <c r="D195" t="inlineStr">
        <is>
          <t>KRONOBERGS LÄN</t>
        </is>
      </c>
      <c r="E195" t="inlineStr">
        <is>
          <t>LESSEBO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21546-2023</t>
        </is>
      </c>
      <c r="B196" s="1" t="n">
        <v>45063</v>
      </c>
      <c r="C196" s="1" t="n">
        <v>46204</v>
      </c>
      <c r="D196" t="inlineStr">
        <is>
          <t>KRONOBERGS LÄN</t>
        </is>
      </c>
      <c r="E196" t="inlineStr">
        <is>
          <t>LESSEBO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15864-2022</t>
        </is>
      </c>
      <c r="B197" s="1" t="n">
        <v>44664</v>
      </c>
      <c r="C197" s="1" t="n">
        <v>46204</v>
      </c>
      <c r="D197" t="inlineStr">
        <is>
          <t>KRONOBERGS LÄN</t>
        </is>
      </c>
      <c r="E197" t="inlineStr">
        <is>
          <t>LESSEBO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20480-2025</t>
        </is>
      </c>
      <c r="B198" s="1" t="n">
        <v>45775</v>
      </c>
      <c r="C198" s="1" t="n">
        <v>46204</v>
      </c>
      <c r="D198" t="inlineStr">
        <is>
          <t>KRONOBERGS LÄN</t>
        </is>
      </c>
      <c r="E198" t="inlineStr">
        <is>
          <t>LESSEBO</t>
        </is>
      </c>
      <c r="F198" t="inlineStr">
        <is>
          <t>Sveaskog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38712-2022</t>
        </is>
      </c>
      <c r="B199" s="1" t="n">
        <v>44814</v>
      </c>
      <c r="C199" s="1" t="n">
        <v>46204</v>
      </c>
      <c r="D199" t="inlineStr">
        <is>
          <t>KRONOBERGS LÄN</t>
        </is>
      </c>
      <c r="E199" t="inlineStr">
        <is>
          <t>LESSEBO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22318-2026</t>
        </is>
      </c>
      <c r="B200" s="1" t="n">
        <v>46154</v>
      </c>
      <c r="C200" s="1" t="n">
        <v>46204</v>
      </c>
      <c r="D200" t="inlineStr">
        <is>
          <t>KRONOBERGS LÄN</t>
        </is>
      </c>
      <c r="E200" t="inlineStr">
        <is>
          <t>LESSEBO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22432-2023</t>
        </is>
      </c>
      <c r="B201" s="1" t="n">
        <v>45070</v>
      </c>
      <c r="C201" s="1" t="n">
        <v>46204</v>
      </c>
      <c r="D201" t="inlineStr">
        <is>
          <t>KRONOBERGS LÄN</t>
        </is>
      </c>
      <c r="E201" t="inlineStr">
        <is>
          <t>LESSEBO</t>
        </is>
      </c>
      <c r="F201" t="inlineStr">
        <is>
          <t>Kommuner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56529-2022</t>
        </is>
      </c>
      <c r="B202" s="1" t="n">
        <v>44893</v>
      </c>
      <c r="C202" s="1" t="n">
        <v>46204</v>
      </c>
      <c r="D202" t="inlineStr">
        <is>
          <t>KRONOBERGS LÄN</t>
        </is>
      </c>
      <c r="E202" t="inlineStr">
        <is>
          <t>LESSEBO</t>
        </is>
      </c>
      <c r="G202" t="n">
        <v>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22423-2026</t>
        </is>
      </c>
      <c r="B203" s="1" t="n">
        <v>46154</v>
      </c>
      <c r="C203" s="1" t="n">
        <v>46204</v>
      </c>
      <c r="D203" t="inlineStr">
        <is>
          <t>KRONOBERGS LÄN</t>
        </is>
      </c>
      <c r="E203" t="inlineStr">
        <is>
          <t>LESSEBO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22718-2026</t>
        </is>
      </c>
      <c r="B204" s="1" t="n">
        <v>46157</v>
      </c>
      <c r="C204" s="1" t="n">
        <v>46204</v>
      </c>
      <c r="D204" t="inlineStr">
        <is>
          <t>KRONOBERGS LÄN</t>
        </is>
      </c>
      <c r="E204" t="inlineStr">
        <is>
          <t>LESSEBO</t>
        </is>
      </c>
      <c r="F204" t="inlineStr">
        <is>
          <t>Sveaskog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43114-2024</t>
        </is>
      </c>
      <c r="B205" s="1" t="n">
        <v>45567</v>
      </c>
      <c r="C205" s="1" t="n">
        <v>46204</v>
      </c>
      <c r="D205" t="inlineStr">
        <is>
          <t>KRONOBERGS LÄN</t>
        </is>
      </c>
      <c r="E205" t="inlineStr">
        <is>
          <t>LESSEBO</t>
        </is>
      </c>
      <c r="F205" t="inlineStr">
        <is>
          <t>Sveaskog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22756-2026</t>
        </is>
      </c>
      <c r="B206" s="1" t="n">
        <v>46157</v>
      </c>
      <c r="C206" s="1" t="n">
        <v>46204</v>
      </c>
      <c r="D206" t="inlineStr">
        <is>
          <t>KRONOBERGS LÄN</t>
        </is>
      </c>
      <c r="E206" t="inlineStr">
        <is>
          <t>LESSEBO</t>
        </is>
      </c>
      <c r="F206" t="inlineStr">
        <is>
          <t>Sveaskog</t>
        </is>
      </c>
      <c r="G206" t="n">
        <v>8.699999999999999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22758-2026</t>
        </is>
      </c>
      <c r="B207" s="1" t="n">
        <v>46157</v>
      </c>
      <c r="C207" s="1" t="n">
        <v>46204</v>
      </c>
      <c r="D207" t="inlineStr">
        <is>
          <t>KRONOBERGS LÄN</t>
        </is>
      </c>
      <c r="E207" t="inlineStr">
        <is>
          <t>LESSEBO</t>
        </is>
      </c>
      <c r="F207" t="inlineStr">
        <is>
          <t>Sveaskog</t>
        </is>
      </c>
      <c r="G207" t="n">
        <v>3.9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22766-2026</t>
        </is>
      </c>
      <c r="B208" s="1" t="n">
        <v>46157</v>
      </c>
      <c r="C208" s="1" t="n">
        <v>46204</v>
      </c>
      <c r="D208" t="inlineStr">
        <is>
          <t>KRONOBERGS LÄN</t>
        </is>
      </c>
      <c r="E208" t="inlineStr">
        <is>
          <t>LESSEBO</t>
        </is>
      </c>
      <c r="F208" t="inlineStr">
        <is>
          <t>Sveaskog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22719-2026</t>
        </is>
      </c>
      <c r="B209" s="1" t="n">
        <v>46157</v>
      </c>
      <c r="C209" s="1" t="n">
        <v>46204</v>
      </c>
      <c r="D209" t="inlineStr">
        <is>
          <t>KRONOBERGS LÄN</t>
        </is>
      </c>
      <c r="E209" t="inlineStr">
        <is>
          <t>LESSEBO</t>
        </is>
      </c>
      <c r="F209" t="inlineStr">
        <is>
          <t>Sveaskog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22720-2026</t>
        </is>
      </c>
      <c r="B210" s="1" t="n">
        <v>46157</v>
      </c>
      <c r="C210" s="1" t="n">
        <v>46204</v>
      </c>
      <c r="D210" t="inlineStr">
        <is>
          <t>KRONOBERGS LÄN</t>
        </is>
      </c>
      <c r="E210" t="inlineStr">
        <is>
          <t>LESSEBO</t>
        </is>
      </c>
      <c r="F210" t="inlineStr">
        <is>
          <t>Sveaskog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22764-2026</t>
        </is>
      </c>
      <c r="B211" s="1" t="n">
        <v>46157</v>
      </c>
      <c r="C211" s="1" t="n">
        <v>46204</v>
      </c>
      <c r="D211" t="inlineStr">
        <is>
          <t>KRONOBERGS LÄN</t>
        </is>
      </c>
      <c r="E211" t="inlineStr">
        <is>
          <t>LESSEBO</t>
        </is>
      </c>
      <c r="F211" t="inlineStr">
        <is>
          <t>Sveaskog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22768-2026</t>
        </is>
      </c>
      <c r="B212" s="1" t="n">
        <v>46157</v>
      </c>
      <c r="C212" s="1" t="n">
        <v>46204</v>
      </c>
      <c r="D212" t="inlineStr">
        <is>
          <t>KRONOBERGS LÄN</t>
        </is>
      </c>
      <c r="E212" t="inlineStr">
        <is>
          <t>LESSEBO</t>
        </is>
      </c>
      <c r="F212" t="inlineStr">
        <is>
          <t>Sveaskog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22770-2026</t>
        </is>
      </c>
      <c r="B213" s="1" t="n">
        <v>46157</v>
      </c>
      <c r="C213" s="1" t="n">
        <v>46204</v>
      </c>
      <c r="D213" t="inlineStr">
        <is>
          <t>KRONOBERGS LÄN</t>
        </is>
      </c>
      <c r="E213" t="inlineStr">
        <is>
          <t>LESSEBO</t>
        </is>
      </c>
      <c r="F213" t="inlineStr">
        <is>
          <t>Sveaskog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22723-2026</t>
        </is>
      </c>
      <c r="B214" s="1" t="n">
        <v>46157</v>
      </c>
      <c r="C214" s="1" t="n">
        <v>46204</v>
      </c>
      <c r="D214" t="inlineStr">
        <is>
          <t>KRONOBERGS LÄN</t>
        </is>
      </c>
      <c r="E214" t="inlineStr">
        <is>
          <t>LESSEBO</t>
        </is>
      </c>
      <c r="F214" t="inlineStr">
        <is>
          <t>Sveaskog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21745-2022</t>
        </is>
      </c>
      <c r="B215" s="1" t="n">
        <v>44708</v>
      </c>
      <c r="C215" s="1" t="n">
        <v>46204</v>
      </c>
      <c r="D215" t="inlineStr">
        <is>
          <t>KRONOBERGS LÄN</t>
        </is>
      </c>
      <c r="E215" t="inlineStr">
        <is>
          <t>LESSEBO</t>
        </is>
      </c>
      <c r="G215" t="n">
        <v>9.699999999999999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37399-2024</t>
        </is>
      </c>
      <c r="B216" s="1" t="n">
        <v>45540</v>
      </c>
      <c r="C216" s="1" t="n">
        <v>46204</v>
      </c>
      <c r="D216" t="inlineStr">
        <is>
          <t>KRONOBERGS LÄN</t>
        </is>
      </c>
      <c r="E216" t="inlineStr">
        <is>
          <t>LESSEBO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20485-2025</t>
        </is>
      </c>
      <c r="B217" s="1" t="n">
        <v>45775</v>
      </c>
      <c r="C217" s="1" t="n">
        <v>46204</v>
      </c>
      <c r="D217" t="inlineStr">
        <is>
          <t>KRONOBERGS LÄN</t>
        </is>
      </c>
      <c r="E217" t="inlineStr">
        <is>
          <t>LESSEBO</t>
        </is>
      </c>
      <c r="F217" t="inlineStr">
        <is>
          <t>Sveaskog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27080-2022</t>
        </is>
      </c>
      <c r="B218" s="1" t="n">
        <v>44741</v>
      </c>
      <c r="C218" s="1" t="n">
        <v>46204</v>
      </c>
      <c r="D218" t="inlineStr">
        <is>
          <t>KRONOBERGS LÄN</t>
        </is>
      </c>
      <c r="E218" t="inlineStr">
        <is>
          <t>LESSEBO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20431-2025</t>
        </is>
      </c>
      <c r="B219" s="1" t="n">
        <v>45775</v>
      </c>
      <c r="C219" s="1" t="n">
        <v>46204</v>
      </c>
      <c r="D219" t="inlineStr">
        <is>
          <t>KRONOBERGS LÄN</t>
        </is>
      </c>
      <c r="E219" t="inlineStr">
        <is>
          <t>LESSEBO</t>
        </is>
      </c>
      <c r="F219" t="inlineStr">
        <is>
          <t>Sveaskog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20435-2025</t>
        </is>
      </c>
      <c r="B220" s="1" t="n">
        <v>45775</v>
      </c>
      <c r="C220" s="1" t="n">
        <v>46204</v>
      </c>
      <c r="D220" t="inlineStr">
        <is>
          <t>KRONOBERGS LÄN</t>
        </is>
      </c>
      <c r="E220" t="inlineStr">
        <is>
          <t>LESSEBO</t>
        </is>
      </c>
      <c r="F220" t="inlineStr">
        <is>
          <t>Sveaskog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20681-2025</t>
        </is>
      </c>
      <c r="B221" s="1" t="n">
        <v>45776</v>
      </c>
      <c r="C221" s="1" t="n">
        <v>46204</v>
      </c>
      <c r="D221" t="inlineStr">
        <is>
          <t>KRONOBERGS LÄN</t>
        </is>
      </c>
      <c r="E221" t="inlineStr">
        <is>
          <t>LESSEBO</t>
        </is>
      </c>
      <c r="F221" t="inlineStr">
        <is>
          <t>Sveaskog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43206-2024</t>
        </is>
      </c>
      <c r="B222" s="1" t="n">
        <v>45567</v>
      </c>
      <c r="C222" s="1" t="n">
        <v>46204</v>
      </c>
      <c r="D222" t="inlineStr">
        <is>
          <t>KRONOBERGS LÄN</t>
        </is>
      </c>
      <c r="E222" t="inlineStr">
        <is>
          <t>LESSEBO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39436-2022</t>
        </is>
      </c>
      <c r="B223" s="1" t="n">
        <v>44818</v>
      </c>
      <c r="C223" s="1" t="n">
        <v>46204</v>
      </c>
      <c r="D223" t="inlineStr">
        <is>
          <t>KRONOBERGS LÄN</t>
        </is>
      </c>
      <c r="E223" t="inlineStr">
        <is>
          <t>LESSEBO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20441-2025</t>
        </is>
      </c>
      <c r="B224" s="1" t="n">
        <v>45775</v>
      </c>
      <c r="C224" s="1" t="n">
        <v>46204</v>
      </c>
      <c r="D224" t="inlineStr">
        <is>
          <t>KRONOBERGS LÄN</t>
        </is>
      </c>
      <c r="E224" t="inlineStr">
        <is>
          <t>LESSEBO</t>
        </is>
      </c>
      <c r="F224" t="inlineStr">
        <is>
          <t>Sveaskog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13036-2022</t>
        </is>
      </c>
      <c r="B225" s="1" t="n">
        <v>44643</v>
      </c>
      <c r="C225" s="1" t="n">
        <v>46204</v>
      </c>
      <c r="D225" t="inlineStr">
        <is>
          <t>KRONOBERGS LÄN</t>
        </is>
      </c>
      <c r="E225" t="inlineStr">
        <is>
          <t>LESSEBO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52031-2023</t>
        </is>
      </c>
      <c r="B226" s="1" t="n">
        <v>45223</v>
      </c>
      <c r="C226" s="1" t="n">
        <v>46204</v>
      </c>
      <c r="D226" t="inlineStr">
        <is>
          <t>KRONOBERGS LÄN</t>
        </is>
      </c>
      <c r="E226" t="inlineStr">
        <is>
          <t>LESSEBO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70349-2021</t>
        </is>
      </c>
      <c r="B227" s="1" t="n">
        <v>44536</v>
      </c>
      <c r="C227" s="1" t="n">
        <v>46204</v>
      </c>
      <c r="D227" t="inlineStr">
        <is>
          <t>KRONOBERGS LÄN</t>
        </is>
      </c>
      <c r="E227" t="inlineStr">
        <is>
          <t>LESSEBO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70350-2021</t>
        </is>
      </c>
      <c r="B228" s="1" t="n">
        <v>44536</v>
      </c>
      <c r="C228" s="1" t="n">
        <v>46204</v>
      </c>
      <c r="D228" t="inlineStr">
        <is>
          <t>KRONOBERGS LÄN</t>
        </is>
      </c>
      <c r="E228" t="inlineStr">
        <is>
          <t>LESSEBO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2755-2025</t>
        </is>
      </c>
      <c r="B229" s="1" t="n">
        <v>45677</v>
      </c>
      <c r="C229" s="1" t="n">
        <v>46204</v>
      </c>
      <c r="D229" t="inlineStr">
        <is>
          <t>KRONOBERGS LÄN</t>
        </is>
      </c>
      <c r="E229" t="inlineStr">
        <is>
          <t>LESSEBO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61575-2022</t>
        </is>
      </c>
      <c r="B230" s="1" t="n">
        <v>44916</v>
      </c>
      <c r="C230" s="1" t="n">
        <v>46204</v>
      </c>
      <c r="D230" t="inlineStr">
        <is>
          <t>KRONOBERGS LÄN</t>
        </is>
      </c>
      <c r="E230" t="inlineStr">
        <is>
          <t>LESSEBO</t>
        </is>
      </c>
      <c r="F230" t="inlineStr">
        <is>
          <t>Kommuner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61588-2022</t>
        </is>
      </c>
      <c r="B231" s="1" t="n">
        <v>44916</v>
      </c>
      <c r="C231" s="1" t="n">
        <v>46204</v>
      </c>
      <c r="D231" t="inlineStr">
        <is>
          <t>KRONOBERGS LÄN</t>
        </is>
      </c>
      <c r="E231" t="inlineStr">
        <is>
          <t>LESSEBO</t>
        </is>
      </c>
      <c r="F231" t="inlineStr">
        <is>
          <t>Kommuner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17350-2023</t>
        </is>
      </c>
      <c r="B232" s="1" t="n">
        <v>45035</v>
      </c>
      <c r="C232" s="1" t="n">
        <v>46204</v>
      </c>
      <c r="D232" t="inlineStr">
        <is>
          <t>KRONOBERGS LÄN</t>
        </is>
      </c>
      <c r="E232" t="inlineStr">
        <is>
          <t>LESSEBO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20852-2025</t>
        </is>
      </c>
      <c r="B233" s="1" t="n">
        <v>45777</v>
      </c>
      <c r="C233" s="1" t="n">
        <v>46204</v>
      </c>
      <c r="D233" t="inlineStr">
        <is>
          <t>KRONOBERGS LÄN</t>
        </is>
      </c>
      <c r="E233" t="inlineStr">
        <is>
          <t>LESSEBO</t>
        </is>
      </c>
      <c r="F233" t="inlineStr">
        <is>
          <t>Sveaskog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51990-2024</t>
        </is>
      </c>
      <c r="B234" s="1" t="n">
        <v>45607</v>
      </c>
      <c r="C234" s="1" t="n">
        <v>46204</v>
      </c>
      <c r="D234" t="inlineStr">
        <is>
          <t>KRONOBERGS LÄN</t>
        </is>
      </c>
      <c r="E234" t="inlineStr">
        <is>
          <t>LESSEBO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41598-2024</t>
        </is>
      </c>
      <c r="B235" s="1" t="n">
        <v>45560</v>
      </c>
      <c r="C235" s="1" t="n">
        <v>46204</v>
      </c>
      <c r="D235" t="inlineStr">
        <is>
          <t>KRONOBERGS LÄN</t>
        </is>
      </c>
      <c r="E235" t="inlineStr">
        <is>
          <t>LESSEBO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61439-2024</t>
        </is>
      </c>
      <c r="B236" s="1" t="n">
        <v>45646</v>
      </c>
      <c r="C236" s="1" t="n">
        <v>46204</v>
      </c>
      <c r="D236" t="inlineStr">
        <is>
          <t>KRONOBERGS LÄN</t>
        </is>
      </c>
      <c r="E236" t="inlineStr">
        <is>
          <t>LESSEBO</t>
        </is>
      </c>
      <c r="G236" t="n">
        <v>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21951-2025</t>
        </is>
      </c>
      <c r="B237" s="1" t="n">
        <v>45784</v>
      </c>
      <c r="C237" s="1" t="n">
        <v>46204</v>
      </c>
      <c r="D237" t="inlineStr">
        <is>
          <t>KRONOBERGS LÄN</t>
        </is>
      </c>
      <c r="E237" t="inlineStr">
        <is>
          <t>LESSEBO</t>
        </is>
      </c>
      <c r="F237" t="inlineStr">
        <is>
          <t>Kommuner</t>
        </is>
      </c>
      <c r="G237" t="n">
        <v>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37964-2024</t>
        </is>
      </c>
      <c r="B238" s="1" t="n">
        <v>45544</v>
      </c>
      <c r="C238" s="1" t="n">
        <v>46204</v>
      </c>
      <c r="D238" t="inlineStr">
        <is>
          <t>KRONOBERGS LÄN</t>
        </is>
      </c>
      <c r="E238" t="inlineStr">
        <is>
          <t>LESSEBO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4742-2025</t>
        </is>
      </c>
      <c r="B239" s="1" t="n">
        <v>45688</v>
      </c>
      <c r="C239" s="1" t="n">
        <v>46204</v>
      </c>
      <c r="D239" t="inlineStr">
        <is>
          <t>KRONOBERGS LÄN</t>
        </is>
      </c>
      <c r="E239" t="inlineStr">
        <is>
          <t>LESSEBO</t>
        </is>
      </c>
      <c r="F239" t="inlineStr">
        <is>
          <t>Kommuner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29566-2024</t>
        </is>
      </c>
      <c r="B240" s="1" t="n">
        <v>45484</v>
      </c>
      <c r="C240" s="1" t="n">
        <v>46204</v>
      </c>
      <c r="D240" t="inlineStr">
        <is>
          <t>KRONOBERGS LÄN</t>
        </is>
      </c>
      <c r="E240" t="inlineStr">
        <is>
          <t>LESSEBO</t>
        </is>
      </c>
      <c r="G240" t="n">
        <v>21.3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10414-2025</t>
        </is>
      </c>
      <c r="B241" s="1" t="n">
        <v>45720</v>
      </c>
      <c r="C241" s="1" t="n">
        <v>46204</v>
      </c>
      <c r="D241" t="inlineStr">
        <is>
          <t>KRONOBERGS LÄN</t>
        </is>
      </c>
      <c r="E241" t="inlineStr">
        <is>
          <t>LESSEBO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53487-2024</t>
        </is>
      </c>
      <c r="B242" s="1" t="n">
        <v>45611</v>
      </c>
      <c r="C242" s="1" t="n">
        <v>46204</v>
      </c>
      <c r="D242" t="inlineStr">
        <is>
          <t>KRONOBERGS LÄN</t>
        </is>
      </c>
      <c r="E242" t="inlineStr">
        <is>
          <t>LESSEBO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8173-2025</t>
        </is>
      </c>
      <c r="B243" s="1" t="n">
        <v>45708</v>
      </c>
      <c r="C243" s="1" t="n">
        <v>46204</v>
      </c>
      <c r="D243" t="inlineStr">
        <is>
          <t>KRONOBERGS LÄN</t>
        </is>
      </c>
      <c r="E243" t="inlineStr">
        <is>
          <t>LESSEBO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8174-2025</t>
        </is>
      </c>
      <c r="B244" s="1" t="n">
        <v>45708</v>
      </c>
      <c r="C244" s="1" t="n">
        <v>46204</v>
      </c>
      <c r="D244" t="inlineStr">
        <is>
          <t>KRONOBERGS LÄN</t>
        </is>
      </c>
      <c r="E244" t="inlineStr">
        <is>
          <t>LESSEBO</t>
        </is>
      </c>
      <c r="G244" t="n">
        <v>4.2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20478-2025</t>
        </is>
      </c>
      <c r="B245" s="1" t="n">
        <v>45775</v>
      </c>
      <c r="C245" s="1" t="n">
        <v>46204</v>
      </c>
      <c r="D245" t="inlineStr">
        <is>
          <t>KRONOBERGS LÄN</t>
        </is>
      </c>
      <c r="E245" t="inlineStr">
        <is>
          <t>LESSEBO</t>
        </is>
      </c>
      <c r="F245" t="inlineStr">
        <is>
          <t>Sveaskog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29659-2025</t>
        </is>
      </c>
      <c r="B246" s="1" t="n">
        <v>45825</v>
      </c>
      <c r="C246" s="1" t="n">
        <v>46204</v>
      </c>
      <c r="D246" t="inlineStr">
        <is>
          <t>KRONOBERGS LÄN</t>
        </is>
      </c>
      <c r="E246" t="inlineStr">
        <is>
          <t>LESSEBO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>
      <c r="A247" t="inlineStr">
        <is>
          <t>A 20851-2025</t>
        </is>
      </c>
      <c r="B247" s="1" t="n">
        <v>45777</v>
      </c>
      <c r="C247" s="1" t="n">
        <v>46204</v>
      </c>
      <c r="D247" t="inlineStr">
        <is>
          <t>KRONOBERGS LÄN</t>
        </is>
      </c>
      <c r="E247" t="inlineStr">
        <is>
          <t>LESSEBO</t>
        </is>
      </c>
      <c r="F247" t="inlineStr">
        <is>
          <t>Sveaskog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2026-07-01T01:02:54Z</dcterms:created>
  <dcterms:modified xmlns:dcterms="http://purl.org/dc/terms/" xmlns:xsi="http://www.w3.org/2001/XMLSchema-instance" xsi:type="dcterms:W3CDTF">2026-07-01T01:02:54Z</dcterms:modified>
</cp:coreProperties>
</file>