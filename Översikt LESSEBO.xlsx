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46217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46217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46217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46217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46217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46217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46217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46217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46217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Y11">
        <f>HYPERLINK("https://klasma.github.io/Logging_0761/klagomål/A 52540-2025 FSC-klagomål.docx", "A 52540-2025")</f>
        <v/>
      </c>
      <c r="Z11">
        <f>HYPERLINK("https://klasma.github.io/Logging_0761/klagomålsmail/A 52540-2025 FSC-klagomål mail.docx", "A 52540-2025")</f>
        <v/>
      </c>
      <c r="AA11">
        <f>HYPERLINK("https://klasma.github.io/Logging_0761/tillsyn/A 52540-2025 tillsynsbegäran.docx", "A 52540-2025")</f>
        <v/>
      </c>
      <c r="AB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46217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HYPERLINK("https://klasma.github.io/Logging_0761/artfynd/A 52539-2025 artfynd.xlsx", "A 52539-2025")</f>
        <v/>
      </c>
      <c r="W12">
        <f>HYPERLINK("https://klasma.github.io/Logging_0761/kartor/A 52539-2025 karta.png", "A 52539-2025")</f>
        <v/>
      </c>
      <c r="Y12">
        <f>HYPERLINK("https://klasma.github.io/Logging_0761/klagomål/A 52539-2025 FSC-klagomål.docx", "A 52539-2025")</f>
        <v/>
      </c>
      <c r="Z12">
        <f>HYPERLINK("https://klasma.github.io/Logging_0761/klagomålsmail/A 52539-2025 FSC-klagomål mail.docx", "A 52539-2025")</f>
        <v/>
      </c>
      <c r="AA12">
        <f>HYPERLINK("https://klasma.github.io/Logging_0761/tillsyn/A 52539-2025 tillsynsbegäran.docx", "A 52539-2025")</f>
        <v/>
      </c>
      <c r="AB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46217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Korallrot</t>
        </is>
      </c>
      <c r="V13">
        <f>HYPERLINK("https://klasma.github.io/Logging_0761/artfynd/A 1488-2025 artfynd.xlsx", "A 1488-2025")</f>
        <v/>
      </c>
      <c r="W13">
        <f>HYPERLINK("https://klasma.github.io/Logging_0761/kartor/A 1488-2025 karta.png", "A 1488-2025")</f>
        <v/>
      </c>
      <c r="Y13">
        <f>HYPERLINK("https://klasma.github.io/Logging_0761/klagomål/A 1488-2025 FSC-klagomål.docx", "A 1488-2025")</f>
        <v/>
      </c>
      <c r="Z13">
        <f>HYPERLINK("https://klasma.github.io/Logging_0761/klagomålsmail/A 1488-2025 FSC-klagomål mail.docx", "A 1488-2025")</f>
        <v/>
      </c>
      <c r="AA13">
        <f>HYPERLINK("https://klasma.github.io/Logging_0761/tillsyn/A 1488-2025 tillsynsbegäran.docx", "A 1488-2025")</f>
        <v/>
      </c>
      <c r="AB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46217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HYPERLINK("https://klasma.github.io/Logging_0761/artfynd/A 37936-2021 artfynd.xlsx", "A 37936-2021")</f>
        <v/>
      </c>
      <c r="W14">
        <f>HYPERLINK("https://klasma.github.io/Logging_0761/kartor/A 37936-2021 karta.png", "A 37936-2021")</f>
        <v/>
      </c>
      <c r="X14">
        <f>HYPERLINK("https://klasma.github.io/Logging_0761/knärot/A 37936-2021 karta knärot.png", "A 37936-2021")</f>
        <v/>
      </c>
      <c r="Y14">
        <f>HYPERLINK("https://klasma.github.io/Logging_0761/klagomål/A 37936-2021 FSC-klagomål.docx", "A 37936-2021")</f>
        <v/>
      </c>
      <c r="Z14">
        <f>HYPERLINK("https://klasma.github.io/Logging_0761/klagomålsmail/A 37936-2021 FSC-klagomål mail.docx", "A 37936-2021")</f>
        <v/>
      </c>
      <c r="AA14">
        <f>HYPERLINK("https://klasma.github.io/Logging_0761/tillsyn/A 37936-2021 tillsynsbegäran.docx", "A 37936-2021")</f>
        <v/>
      </c>
      <c r="AB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46217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HYPERLINK("https://klasma.github.io/Logging_0761/artfynd/A 56472-2024 artfynd.xlsx", "A 56472-2024")</f>
        <v/>
      </c>
      <c r="W15">
        <f>HYPERLINK("https://klasma.github.io/Logging_0761/kartor/A 56472-2024 karta.png", "A 56472-2024")</f>
        <v/>
      </c>
      <c r="Y15">
        <f>HYPERLINK("https://klasma.github.io/Logging_0761/klagomål/A 56472-2024 FSC-klagomål.docx", "A 56472-2024")</f>
        <v/>
      </c>
      <c r="Z15">
        <f>HYPERLINK("https://klasma.github.io/Logging_0761/klagomålsmail/A 56472-2024 FSC-klagomål mail.docx", "A 56472-2024")</f>
        <v/>
      </c>
      <c r="AA15">
        <f>HYPERLINK("https://klasma.github.io/Logging_0761/tillsyn/A 56472-2024 tillsynsbegäran.docx", "A 56472-2024")</f>
        <v/>
      </c>
      <c r="AB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46217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46217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46217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46217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46217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46217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46217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46217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46217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46217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46217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46217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46217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46217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46217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46217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46217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46217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45095-2022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44842</v>
      </c>
      <c r="E34" s="1" t="n">
        <v>46217</v>
      </c>
      <c r="F34" t="inlineStr">
        <is>
          <t>KRONOBERGS LÄN</t>
        </is>
      </c>
      <c r="G34" t="inlineStr">
        <is>
          <t>LESSEBO</t>
        </is>
      </c>
      <c r="H34" t="inlineStr">
        <is>
          <t>Sveaskog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46217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46217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46217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46217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46217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46217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46217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46217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46217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46217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46217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46217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27713-2022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44743</v>
      </c>
      <c r="E47" s="1" t="n">
        <v>46217</v>
      </c>
      <c r="F47" t="inlineStr">
        <is>
          <t>KRONOBERGS LÄN</t>
        </is>
      </c>
      <c r="G47" t="inlineStr">
        <is>
          <t>LESSEBO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46217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46217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20480-2025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46217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59173-2023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46217</v>
      </c>
      <c r="F51" t="inlineStr">
        <is>
          <t>KRONOBERGS LÄN</t>
        </is>
      </c>
      <c r="G51" t="inlineStr">
        <is>
          <t>LESSEBO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46217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46217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64635-2023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46217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46217</v>
      </c>
      <c r="F55" t="inlineStr">
        <is>
          <t>KRONOBERGS LÄN</t>
        </is>
      </c>
      <c r="G55" t="inlineStr">
        <is>
          <t>LESSEBO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20541-2024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46217</v>
      </c>
      <c r="F56" t="inlineStr">
        <is>
          <t>KRONOBERGS LÄN</t>
        </is>
      </c>
      <c r="G56" t="inlineStr">
        <is>
          <t>LESSEBO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18968-2024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45427</v>
      </c>
      <c r="E57" s="1" t="n">
        <v>46217</v>
      </c>
      <c r="F57" t="inlineStr">
        <is>
          <t>KRONOBERGS LÄN</t>
        </is>
      </c>
      <c r="G57" t="inlineStr">
        <is>
          <t>LESSEBO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46217</v>
      </c>
      <c r="F58" t="inlineStr">
        <is>
          <t>KRONOBERGS LÄN</t>
        </is>
      </c>
      <c r="G58" t="inlineStr">
        <is>
          <t>LESSEBO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38227-2023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46217</v>
      </c>
      <c r="F59" t="inlineStr">
        <is>
          <t>KRONOBERGS LÄN</t>
        </is>
      </c>
      <c r="G59" t="inlineStr">
        <is>
          <t>LESSEBO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46217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33240-2024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45518</v>
      </c>
      <c r="E61" s="1" t="n">
        <v>46217</v>
      </c>
      <c r="F61" t="inlineStr">
        <is>
          <t>KRONOBERGS LÄN</t>
        </is>
      </c>
      <c r="G61" t="inlineStr">
        <is>
          <t>LESSEBO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60358-2022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46217</v>
      </c>
      <c r="F62" t="inlineStr">
        <is>
          <t>KRONOBERGS LÄN</t>
        </is>
      </c>
      <c r="G62" t="inlineStr">
        <is>
          <t>LESSEBO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45551</v>
      </c>
      <c r="E63" s="1" t="n">
        <v>46217</v>
      </c>
      <c r="F63" t="inlineStr">
        <is>
          <t>KRONOBERGS LÄN</t>
        </is>
      </c>
      <c r="G63" t="inlineStr">
        <is>
          <t>LESSEBO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43453-2024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45568</v>
      </c>
      <c r="E64" s="1" t="n">
        <v>46217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46217</v>
      </c>
      <c r="F65" t="inlineStr">
        <is>
          <t>KRONOBERGS LÄN</t>
        </is>
      </c>
      <c r="G65" t="inlineStr">
        <is>
          <t>LESSEBO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61588-2022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46217</v>
      </c>
      <c r="F66" t="inlineStr">
        <is>
          <t>KRONOBERGS LÄN</t>
        </is>
      </c>
      <c r="G66" t="inlineStr">
        <is>
          <t>LESSEBO</t>
        </is>
      </c>
      <c r="H66" t="inlineStr">
        <is>
          <t>Kommuner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7957-2023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46217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47386-2024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46217</v>
      </c>
      <c r="F68" t="inlineStr">
        <is>
          <t>KRONOBERGS LÄN</t>
        </is>
      </c>
      <c r="G68" t="inlineStr">
        <is>
          <t>LESSEBO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37399-2024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45540</v>
      </c>
      <c r="E69" s="1" t="n">
        <v>46217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51175-2023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46217</v>
      </c>
      <c r="F70" t="inlineStr">
        <is>
          <t>KRONOBERGS LÄN</t>
        </is>
      </c>
      <c r="G70" t="inlineStr">
        <is>
          <t>LESSEBO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46217</v>
      </c>
      <c r="F71" t="inlineStr">
        <is>
          <t>KRONOBERGS LÄN</t>
        </is>
      </c>
      <c r="G71" t="inlineStr">
        <is>
          <t>LESSEBO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21917-2025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45784</v>
      </c>
      <c r="E72" s="1" t="n">
        <v>46217</v>
      </c>
      <c r="F72" t="inlineStr">
        <is>
          <t>KRONOBERGS LÄN</t>
        </is>
      </c>
      <c r="G72" t="inlineStr">
        <is>
          <t>LESSEBO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20855-2025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46217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10047-2024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45364</v>
      </c>
      <c r="E74" s="1" t="n">
        <v>46217</v>
      </c>
      <c r="F74" t="inlineStr">
        <is>
          <t>KRONOBERGS LÄN</t>
        </is>
      </c>
      <c r="G74" t="inlineStr">
        <is>
          <t>LESSEBO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45013</v>
      </c>
      <c r="E75" s="1" t="n">
        <v>46217</v>
      </c>
      <c r="F75" t="inlineStr">
        <is>
          <t>KRONOBERGS LÄN</t>
        </is>
      </c>
      <c r="G75" t="inlineStr">
        <is>
          <t>LESSEBO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39549-2025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46217</v>
      </c>
      <c r="F76" t="inlineStr">
        <is>
          <t>KRONOBERGS LÄN</t>
        </is>
      </c>
      <c r="G76" t="inlineStr">
        <is>
          <t>LESSEBO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29767-2023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46217</v>
      </c>
      <c r="F77" t="inlineStr">
        <is>
          <t>KRONOBERGS LÄN</t>
        </is>
      </c>
      <c r="G77" t="inlineStr">
        <is>
          <t>LESSEBO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46217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8174-2025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45708</v>
      </c>
      <c r="E79" s="1" t="n">
        <v>46217</v>
      </c>
      <c r="F79" t="inlineStr">
        <is>
          <t>KRONOBERGS LÄN</t>
        </is>
      </c>
      <c r="G79" t="inlineStr">
        <is>
          <t>LESSEBO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46217</v>
      </c>
      <c r="F80" t="inlineStr">
        <is>
          <t>KRONOBERGS LÄN</t>
        </is>
      </c>
      <c r="G80" t="inlineStr">
        <is>
          <t>LESSEBO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46217</v>
      </c>
      <c r="F81" t="inlineStr">
        <is>
          <t>KRONOBERGS LÄN</t>
        </is>
      </c>
      <c r="G81" t="inlineStr">
        <is>
          <t>LESSEBO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39884-2025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46217</v>
      </c>
      <c r="F82" t="inlineStr">
        <is>
          <t>KRONOBERGS LÄN</t>
        </is>
      </c>
      <c r="G82" t="inlineStr">
        <is>
          <t>LESSEBO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51191-2023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46217</v>
      </c>
      <c r="F83" t="inlineStr">
        <is>
          <t>KRONOBERGS LÄN</t>
        </is>
      </c>
      <c r="G83" t="inlineStr">
        <is>
          <t>LESSEBO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47693-2025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46217</v>
      </c>
      <c r="F84" t="inlineStr">
        <is>
          <t>KRONOBERGS LÄN</t>
        </is>
      </c>
      <c r="G84" t="inlineStr">
        <is>
          <t>LESSEBO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20056-2025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46217</v>
      </c>
      <c r="F85" t="inlineStr">
        <is>
          <t>KRONOBERGS LÄN</t>
        </is>
      </c>
      <c r="G85" t="inlineStr">
        <is>
          <t>LESSEBO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46217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52525-2023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45225</v>
      </c>
      <c r="E87" s="1" t="n">
        <v>46217</v>
      </c>
      <c r="F87" t="inlineStr">
        <is>
          <t>KRONOBERGS LÄN</t>
        </is>
      </c>
      <c r="G87" t="inlineStr">
        <is>
          <t>LESSEBO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46217</v>
      </c>
      <c r="F88" t="inlineStr">
        <is>
          <t>KRONOBERGS LÄN</t>
        </is>
      </c>
      <c r="G88" t="inlineStr">
        <is>
          <t>LESSEBO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44936</v>
      </c>
      <c r="E89" s="1" t="n">
        <v>46217</v>
      </c>
      <c r="F89" t="inlineStr">
        <is>
          <t>KRONOBERGS LÄN</t>
        </is>
      </c>
      <c r="G89" t="inlineStr">
        <is>
          <t>LESSEBO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43809-2025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46217</v>
      </c>
      <c r="F90" t="inlineStr">
        <is>
          <t>KRONOBERGS LÄN</t>
        </is>
      </c>
      <c r="G90" t="inlineStr">
        <is>
          <t>LESSEBO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45684</v>
      </c>
      <c r="E91" s="1" t="n">
        <v>46217</v>
      </c>
      <c r="F91" t="inlineStr">
        <is>
          <t>KRONOBERGS LÄN</t>
        </is>
      </c>
      <c r="G91" t="inlineStr">
        <is>
          <t>LESSEBO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44904-2025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46217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46217</v>
      </c>
      <c r="F93" t="inlineStr">
        <is>
          <t>KRONOBERGS LÄN</t>
        </is>
      </c>
      <c r="G93" t="inlineStr">
        <is>
          <t>LESSEBO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37933-2021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44403</v>
      </c>
      <c r="E94" s="1" t="n">
        <v>46217</v>
      </c>
      <c r="F94" t="inlineStr">
        <is>
          <t>KRONOBERGS LÄN</t>
        </is>
      </c>
      <c r="G94" t="inlineStr">
        <is>
          <t>LESSEBO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48429-2025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46217</v>
      </c>
      <c r="F95" t="inlineStr">
        <is>
          <t>KRONOBERGS LÄN</t>
        </is>
      </c>
      <c r="G95" t="inlineStr">
        <is>
          <t>LESSEBO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48433-2025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46217</v>
      </c>
      <c r="F96" t="inlineStr">
        <is>
          <t>KRONOBERGS LÄN</t>
        </is>
      </c>
      <c r="G96" t="inlineStr">
        <is>
          <t>LESSEBO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17729-2025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46217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63927-2021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46217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46217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46217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36895-2025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46217</v>
      </c>
      <c r="F101" t="inlineStr">
        <is>
          <t>KRONOBERGS LÄN</t>
        </is>
      </c>
      <c r="G101" t="inlineStr">
        <is>
          <t>LESSEBO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45710</v>
      </c>
      <c r="E102" s="1" t="n">
        <v>46217</v>
      </c>
      <c r="F102" t="inlineStr">
        <is>
          <t>KRONOBERGS LÄN</t>
        </is>
      </c>
      <c r="G102" t="inlineStr">
        <is>
          <t>LESSEBO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41900-2022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46217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22432-2023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45070</v>
      </c>
      <c r="E104" s="1" t="n">
        <v>46217</v>
      </c>
      <c r="F104" t="inlineStr">
        <is>
          <t>KRONOBERGS LÄN</t>
        </is>
      </c>
      <c r="G104" t="inlineStr">
        <is>
          <t>LESSEBO</t>
        </is>
      </c>
      <c r="H104" t="inlineStr">
        <is>
          <t>Kommuner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17552-2023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45036</v>
      </c>
      <c r="E105" s="1" t="n">
        <v>46217</v>
      </c>
      <c r="F105" t="inlineStr">
        <is>
          <t>KRONOBERGS LÄN</t>
        </is>
      </c>
      <c r="G105" t="inlineStr">
        <is>
          <t>LESSEBO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46217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13751-2025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46217</v>
      </c>
      <c r="F107" t="inlineStr">
        <is>
          <t>KRONOBERGS LÄN</t>
        </is>
      </c>
      <c r="G107" t="inlineStr">
        <is>
          <t>LESSEBO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46217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46217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46217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46217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46217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53122-2025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46217</v>
      </c>
      <c r="F113" t="inlineStr">
        <is>
          <t>KRONOBERGS LÄN</t>
        </is>
      </c>
      <c r="G113" t="inlineStr">
        <is>
          <t>LESSEBO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30405-2023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46217</v>
      </c>
      <c r="F114" t="inlineStr">
        <is>
          <t>KRONOBERGS LÄN</t>
        </is>
      </c>
      <c r="G114" t="inlineStr">
        <is>
          <t>LESSEBO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53522-2025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46217</v>
      </c>
      <c r="F115" t="inlineStr">
        <is>
          <t>KRONOBERGS LÄN</t>
        </is>
      </c>
      <c r="G115" t="inlineStr">
        <is>
          <t>LESSEBO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46217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56471-2024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46217</v>
      </c>
      <c r="F117" t="inlineStr">
        <is>
          <t>KRONOBERGS LÄN</t>
        </is>
      </c>
      <c r="G117" t="inlineStr">
        <is>
          <t>LESSEBO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38303-2025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46217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46217</v>
      </c>
      <c r="F119" t="inlineStr">
        <is>
          <t>KRONOBERGS LÄN</t>
        </is>
      </c>
      <c r="G119" t="inlineStr">
        <is>
          <t>LESSEBO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44867</v>
      </c>
      <c r="E120" s="1" t="n">
        <v>46217</v>
      </c>
      <c r="F120" t="inlineStr">
        <is>
          <t>KRONOBERGS LÄN</t>
        </is>
      </c>
      <c r="G120" t="inlineStr">
        <is>
          <t>LESSEBO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45838-2022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46217</v>
      </c>
      <c r="F121" t="inlineStr">
        <is>
          <t>KRONOBERGS LÄN</t>
        </is>
      </c>
      <c r="G121" t="inlineStr">
        <is>
          <t>LESSEBO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46217</v>
      </c>
      <c r="F122" t="inlineStr">
        <is>
          <t>KRONOBERGS LÄN</t>
        </is>
      </c>
      <c r="G122" t="inlineStr">
        <is>
          <t>LESSEBO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30600-2024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45493</v>
      </c>
      <c r="E123" s="1" t="n">
        <v>46217</v>
      </c>
      <c r="F123" t="inlineStr">
        <is>
          <t>KRONOBERGS LÄN</t>
        </is>
      </c>
      <c r="G123" t="inlineStr">
        <is>
          <t>LESSEBO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15864-2022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46217</v>
      </c>
      <c r="F124" t="inlineStr">
        <is>
          <t>KRONOBERGS LÄN</t>
        </is>
      </c>
      <c r="G124" t="inlineStr">
        <is>
          <t>LESSEBO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642-2024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45299</v>
      </c>
      <c r="E125" s="1" t="n">
        <v>46217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45862</v>
      </c>
      <c r="E126" s="1" t="n">
        <v>46217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21311-2026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46147</v>
      </c>
      <c r="E127" s="1" t="n">
        <v>46217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27870-2026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46217</v>
      </c>
      <c r="F128" t="inlineStr">
        <is>
          <t>KRONOBERGS LÄN</t>
        </is>
      </c>
      <c r="G128" t="inlineStr">
        <is>
          <t>LESSEBO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27873-2026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46191</v>
      </c>
      <c r="E129" s="1" t="n">
        <v>46217</v>
      </c>
      <c r="F129" t="inlineStr">
        <is>
          <t>KRONOBERGS LÄN</t>
        </is>
      </c>
      <c r="G129" t="inlineStr">
        <is>
          <t>LESSEBO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46217</v>
      </c>
      <c r="F130" t="inlineStr">
        <is>
          <t>KRONOBERGS LÄN</t>
        </is>
      </c>
      <c r="G130" t="inlineStr">
        <is>
          <t>LESSEBO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22318-2026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46217</v>
      </c>
      <c r="F131" t="inlineStr">
        <is>
          <t>KRONOBERGS LÄN</t>
        </is>
      </c>
      <c r="G131" t="inlineStr">
        <is>
          <t>LESSEBO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61638-2025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46217</v>
      </c>
      <c r="F132" t="inlineStr">
        <is>
          <t>KRONOBERGS LÄN</t>
        </is>
      </c>
      <c r="G132" t="inlineStr">
        <is>
          <t>LESSEBO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46217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46217</v>
      </c>
      <c r="F134" t="inlineStr">
        <is>
          <t>KRONOBERGS LÄN</t>
        </is>
      </c>
      <c r="G134" t="inlineStr">
        <is>
          <t>LESSEBO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46217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46217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46217</v>
      </c>
      <c r="F137" t="inlineStr">
        <is>
          <t>KRONOBERGS LÄN</t>
        </is>
      </c>
      <c r="G137" t="inlineStr">
        <is>
          <t>LESSEBO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14940-2024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46217</v>
      </c>
      <c r="F138" t="inlineStr">
        <is>
          <t>KRONOBERGS LÄN</t>
        </is>
      </c>
      <c r="G138" t="inlineStr">
        <is>
          <t>LESSEBO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62728-2025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46217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17836-2023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45037</v>
      </c>
      <c r="E140" s="1" t="n">
        <v>46217</v>
      </c>
      <c r="F140" t="inlineStr">
        <is>
          <t>KRONOBERGS LÄN</t>
        </is>
      </c>
      <c r="G140" t="inlineStr">
        <is>
          <t>LESSEBO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22423-2026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46154</v>
      </c>
      <c r="E141" s="1" t="n">
        <v>46217</v>
      </c>
      <c r="F141" t="inlineStr">
        <is>
          <t>KRONOBERGS LÄN</t>
        </is>
      </c>
      <c r="G141" t="inlineStr">
        <is>
          <t>LESSEBO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46217</v>
      </c>
      <c r="F142" t="inlineStr">
        <is>
          <t>KRONOBERGS LÄN</t>
        </is>
      </c>
      <c r="G142" t="inlineStr">
        <is>
          <t>LESSEBO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46217</v>
      </c>
      <c r="F143" t="inlineStr">
        <is>
          <t>KRONOBERGS LÄN</t>
        </is>
      </c>
      <c r="G143" t="inlineStr">
        <is>
          <t>LESSEBO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46217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44589</v>
      </c>
      <c r="E145" s="1" t="n">
        <v>46217</v>
      </c>
      <c r="F145" t="inlineStr">
        <is>
          <t>KRONOBERGS LÄN</t>
        </is>
      </c>
      <c r="G145" t="inlineStr">
        <is>
          <t>LESSEBO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46217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46217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33076-2023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45126</v>
      </c>
      <c r="E148" s="1" t="n">
        <v>46217</v>
      </c>
      <c r="F148" t="inlineStr">
        <is>
          <t>KRONOBERGS LÄN</t>
        </is>
      </c>
      <c r="G148" t="inlineStr">
        <is>
          <t>LESSEBO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70350-2021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46217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1490-2025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45670</v>
      </c>
      <c r="E150" s="1" t="n">
        <v>46217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22764-2026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46217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22768-2026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46217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46217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20431-2025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46217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46217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46217</v>
      </c>
      <c r="F156" t="inlineStr">
        <is>
          <t>KRONOBERGS LÄN</t>
        </is>
      </c>
      <c r="G156" t="inlineStr">
        <is>
          <t>LESSEBO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46217</v>
      </c>
      <c r="F157" t="inlineStr">
        <is>
          <t>KRONOBERGS LÄN</t>
        </is>
      </c>
      <c r="G157" t="inlineStr">
        <is>
          <t>LESSEBO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22723-2026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46217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20681-2025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46217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46217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46217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13036-2022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46217</v>
      </c>
      <c r="F162" t="inlineStr">
        <is>
          <t>KRONOBERGS LÄN</t>
        </is>
      </c>
      <c r="G162" t="inlineStr">
        <is>
          <t>LESSEBO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22756-2026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46217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22758-2026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46217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20435-2025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46217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46217</v>
      </c>
      <c r="F166" t="inlineStr">
        <is>
          <t>KRONOBERGS LÄN</t>
        </is>
      </c>
      <c r="G166" t="inlineStr">
        <is>
          <t>LESSEBO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20485-2025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46217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22719-2026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46217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22720-2026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46217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46217</v>
      </c>
      <c r="F170" t="inlineStr">
        <is>
          <t>KRONOBERGS LÄN</t>
        </is>
      </c>
      <c r="G170" t="inlineStr">
        <is>
          <t>LESSEBO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56456-2024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46217</v>
      </c>
      <c r="F171" t="inlineStr">
        <is>
          <t>KRONOBERGS LÄN</t>
        </is>
      </c>
      <c r="G171" t="inlineStr">
        <is>
          <t>LESSEBO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56459-2024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46217</v>
      </c>
      <c r="F172" t="inlineStr">
        <is>
          <t>KRONOBERGS LÄN</t>
        </is>
      </c>
      <c r="G172" t="inlineStr">
        <is>
          <t>LESSEBO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45671</v>
      </c>
      <c r="E173" s="1" t="n">
        <v>46217</v>
      </c>
      <c r="F173" t="inlineStr">
        <is>
          <t>KRONOBERGS LÄN</t>
        </is>
      </c>
      <c r="G173" t="inlineStr">
        <is>
          <t>LESSEBO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20825-2023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46217</v>
      </c>
      <c r="F174" t="inlineStr">
        <is>
          <t>KRONOBERGS LÄN</t>
        </is>
      </c>
      <c r="G174" t="inlineStr">
        <is>
          <t>LESSEBO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8438-2026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46217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48639-2023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46217</v>
      </c>
      <c r="F176" t="inlineStr">
        <is>
          <t>KRONOBERGS LÄN</t>
        </is>
      </c>
      <c r="G176" t="inlineStr">
        <is>
          <t>LESSEBO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46217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10185-2026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46217</v>
      </c>
      <c r="F178" t="inlineStr">
        <is>
          <t>KRONOBERGS LÄN</t>
        </is>
      </c>
      <c r="G178" t="inlineStr">
        <is>
          <t>LESSEBO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50162-2023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45215</v>
      </c>
      <c r="E179" s="1" t="n">
        <v>46217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10189-2026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46217</v>
      </c>
      <c r="F180" t="inlineStr">
        <is>
          <t>KRONOBERGS LÄN</t>
        </is>
      </c>
      <c r="G180" t="inlineStr">
        <is>
          <t>LESSEBO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2755-2025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45677</v>
      </c>
      <c r="E181" s="1" t="n">
        <v>46217</v>
      </c>
      <c r="F181" t="inlineStr">
        <is>
          <t>KRONOBERGS LÄN</t>
        </is>
      </c>
      <c r="G181" t="inlineStr">
        <is>
          <t>LESSEBO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21745-2022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44708</v>
      </c>
      <c r="E182" s="1" t="n">
        <v>46217</v>
      </c>
      <c r="F182" t="inlineStr">
        <is>
          <t>KRONOBERGS LÄN</t>
        </is>
      </c>
      <c r="G182" t="inlineStr">
        <is>
          <t>LESSEBO</t>
        </is>
      </c>
      <c r="I182" t="n">
        <v>9.699999999999999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39603-2022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46217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59321-2024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46217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46217</v>
      </c>
      <c r="F185" t="inlineStr">
        <is>
          <t>KRONOBERGS LÄN</t>
        </is>
      </c>
      <c r="G185" t="inlineStr">
        <is>
          <t>LESSEBO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17203-2025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46217</v>
      </c>
      <c r="F186" t="inlineStr">
        <is>
          <t>KRONOBERGS LÄN</t>
        </is>
      </c>
      <c r="G186" t="inlineStr">
        <is>
          <t>LESSEBO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40912-2023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46217</v>
      </c>
      <c r="F187" t="inlineStr">
        <is>
          <t>KRONOBERGS LÄN</t>
        </is>
      </c>
      <c r="G187" t="inlineStr">
        <is>
          <t>LESSEBO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46217</v>
      </c>
      <c r="F188" t="inlineStr">
        <is>
          <t>KRONOBERGS LÄN</t>
        </is>
      </c>
      <c r="G188" t="inlineStr">
        <is>
          <t>LESSEBO</t>
        </is>
      </c>
      <c r="H188" t="inlineStr">
        <is>
          <t>Kommuner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45679</v>
      </c>
      <c r="E189" s="1" t="n">
        <v>46217</v>
      </c>
      <c r="F189" t="inlineStr">
        <is>
          <t>KRONOBERGS LÄN</t>
        </is>
      </c>
      <c r="G189" t="inlineStr">
        <is>
          <t>LESSEBO</t>
        </is>
      </c>
      <c r="H189" t="inlineStr">
        <is>
          <t>Kommuner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54541-2023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45233</v>
      </c>
      <c r="E190" s="1" t="n">
        <v>46217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45322</v>
      </c>
      <c r="E191" s="1" t="n">
        <v>46217</v>
      </c>
      <c r="F191" t="inlineStr">
        <is>
          <t>KRONOBERGS LÄN</t>
        </is>
      </c>
      <c r="G191" t="inlineStr">
        <is>
          <t>LESSEBO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18207-2025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46217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18211-2025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46217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41905-2022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46217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39436-2022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46217</v>
      </c>
      <c r="F195" t="inlineStr">
        <is>
          <t>KRONOBERGS LÄN</t>
        </is>
      </c>
      <c r="G195" t="inlineStr">
        <is>
          <t>LESSEBO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46217</v>
      </c>
      <c r="F196" t="inlineStr">
        <is>
          <t>KRONOBERGS LÄN</t>
        </is>
      </c>
      <c r="G196" t="inlineStr">
        <is>
          <t>LESSEBO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30826-2026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46217</v>
      </c>
      <c r="F197" t="inlineStr">
        <is>
          <t>KRONOBERGS LÄN</t>
        </is>
      </c>
      <c r="G197" t="inlineStr">
        <is>
          <t>LESSEBO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24275-2026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46217</v>
      </c>
      <c r="F198" t="inlineStr">
        <is>
          <t>KRONOBERGS LÄN</t>
        </is>
      </c>
      <c r="G198" t="inlineStr">
        <is>
          <t>LESSEBO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17204-2025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46217</v>
      </c>
      <c r="F199" t="inlineStr">
        <is>
          <t>KRONOBERGS LÄN</t>
        </is>
      </c>
      <c r="G199" t="inlineStr">
        <is>
          <t>LESSEBO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24271-2026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46217</v>
      </c>
      <c r="F200" t="inlineStr">
        <is>
          <t>KRONOBERGS LÄN</t>
        </is>
      </c>
      <c r="G200" t="inlineStr">
        <is>
          <t>LESSEBO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24272-2026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46217</v>
      </c>
      <c r="F201" t="inlineStr">
        <is>
          <t>KRONOBERGS LÄN</t>
        </is>
      </c>
      <c r="G201" t="inlineStr">
        <is>
          <t>LESSEBO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24269-2026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46217</v>
      </c>
      <c r="F202" t="inlineStr">
        <is>
          <t>KRONOBERGS LÄN</t>
        </is>
      </c>
      <c r="G202" t="inlineStr">
        <is>
          <t>LESSEBO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35332-2022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44798</v>
      </c>
      <c r="E203" s="1" t="n">
        <v>46217</v>
      </c>
      <c r="F203" t="inlineStr">
        <is>
          <t>KRONOBERGS LÄN</t>
        </is>
      </c>
      <c r="G203" t="inlineStr">
        <is>
          <t>LESSEBO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18464-2026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46217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18466-2026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46217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18625-2026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46217</v>
      </c>
      <c r="F206" t="inlineStr">
        <is>
          <t>KRONOBERGS LÄN</t>
        </is>
      </c>
      <c r="G206" t="inlineStr">
        <is>
          <t>LESSEBO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56467-2024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46217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59320-2024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46217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25169-2026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46217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70349-2021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46217</v>
      </c>
      <c r="F210" t="inlineStr">
        <is>
          <t>KRONOBERGS LÄN</t>
        </is>
      </c>
      <c r="G210" t="inlineStr">
        <is>
          <t>LESSEBO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30914-2022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44767</v>
      </c>
      <c r="E211" s="1" t="n">
        <v>46217</v>
      </c>
      <c r="F211" t="inlineStr">
        <is>
          <t>KRONOBERGS LÄN</t>
        </is>
      </c>
      <c r="G211" t="inlineStr">
        <is>
          <t>LESSEBO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73140-2021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46217</v>
      </c>
      <c r="F212" t="inlineStr">
        <is>
          <t>KRONOBERGS LÄN</t>
        </is>
      </c>
      <c r="G212" t="inlineStr">
        <is>
          <t>LESSEBO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45097</v>
      </c>
      <c r="E213" s="1" t="n">
        <v>46217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53341-2021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44468</v>
      </c>
      <c r="E214" s="1" t="n">
        <v>46217</v>
      </c>
      <c r="F214" t="inlineStr">
        <is>
          <t>KRONOBERGS LÄN</t>
        </is>
      </c>
      <c r="G214" t="inlineStr">
        <is>
          <t>LESSEBO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44955</v>
      </c>
      <c r="E215" s="1" t="n">
        <v>46217</v>
      </c>
      <c r="F215" t="inlineStr">
        <is>
          <t>KRONOBERGS LÄN</t>
        </is>
      </c>
      <c r="G215" t="inlineStr">
        <is>
          <t>LESSEBO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46217</v>
      </c>
      <c r="F216" t="inlineStr">
        <is>
          <t>KRONOBERGS LÄN</t>
        </is>
      </c>
      <c r="G216" t="inlineStr">
        <is>
          <t>LESSEBO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46217</v>
      </c>
      <c r="F217" t="inlineStr">
        <is>
          <t>KRONOBERGS LÄN</t>
        </is>
      </c>
      <c r="G217" t="inlineStr">
        <is>
          <t>LESSEBO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15180-2023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45016</v>
      </c>
      <c r="E218" s="1" t="n">
        <v>46217</v>
      </c>
      <c r="F218" t="inlineStr">
        <is>
          <t>KRONOBERGS LÄN</t>
        </is>
      </c>
      <c r="G218" t="inlineStr">
        <is>
          <t>LESSEBO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859-2025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45665</v>
      </c>
      <c r="E219" s="1" t="n">
        <v>46217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52031-2023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46217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30966-2023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46217</v>
      </c>
      <c r="F221" t="inlineStr">
        <is>
          <t>KRONOBERGS LÄN</t>
        </is>
      </c>
      <c r="G221" t="inlineStr">
        <is>
          <t>LESSEBO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68507-2021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46217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38712-2022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46217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20441-2025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46217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46217</v>
      </c>
      <c r="F225" t="inlineStr">
        <is>
          <t>KRONOBERGS LÄN</t>
        </is>
      </c>
      <c r="G225" t="inlineStr">
        <is>
          <t>LESSEBO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15203-2023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45017</v>
      </c>
      <c r="E226" s="1" t="n">
        <v>46217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15204-2023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45017</v>
      </c>
      <c r="E227" s="1" t="n">
        <v>46217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46217</v>
      </c>
      <c r="F228" t="inlineStr">
        <is>
          <t>KRONOBERGS LÄN</t>
        </is>
      </c>
      <c r="G228" t="inlineStr">
        <is>
          <t>LESSEBO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46217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46217</v>
      </c>
      <c r="F230" t="inlineStr">
        <is>
          <t>KRONOBERGS LÄN</t>
        </is>
      </c>
      <c r="G230" t="inlineStr">
        <is>
          <t>LESSEBO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49121-2024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46217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56475-2024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46217</v>
      </c>
      <c r="F232" t="inlineStr">
        <is>
          <t>KRONOBERGS LÄN</t>
        </is>
      </c>
      <c r="G232" t="inlineStr">
        <is>
          <t>LESSEBO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14551-2025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46217</v>
      </c>
      <c r="F233" t="inlineStr">
        <is>
          <t>KRONOBERGS LÄN</t>
        </is>
      </c>
      <c r="G233" t="inlineStr">
        <is>
          <t>LESSEBO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51990-2024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46217</v>
      </c>
      <c r="F234" t="inlineStr">
        <is>
          <t>KRONOBERGS LÄN</t>
        </is>
      </c>
      <c r="G234" t="inlineStr">
        <is>
          <t>LESSEBO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41598-2024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46217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20852-2025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45777</v>
      </c>
      <c r="E236" s="1" t="n">
        <v>46217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46217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46217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37964-2024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45544</v>
      </c>
      <c r="E239" s="1" t="n">
        <v>46217</v>
      </c>
      <c r="F239" t="inlineStr">
        <is>
          <t>KRONOBERGS LÄN</t>
        </is>
      </c>
      <c r="G239" t="inlineStr">
        <is>
          <t>LESSEBO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46217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29566-2024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45484</v>
      </c>
      <c r="E241" s="1" t="n">
        <v>46217</v>
      </c>
      <c r="F241" t="inlineStr">
        <is>
          <t>KRONOBERGS LÄN</t>
        </is>
      </c>
      <c r="G241" t="inlineStr">
        <is>
          <t>LESSEBO</t>
        </is>
      </c>
      <c r="I241" t="n">
        <v>21.3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53487-2024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46217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46217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8174-2025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45708</v>
      </c>
      <c r="E244" s="1" t="n">
        <v>46217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8173-2025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46217</v>
      </c>
      <c r="F245" t="inlineStr">
        <is>
          <t>KRONOBERGS LÄN</t>
        </is>
      </c>
      <c r="G245" t="inlineStr">
        <is>
          <t>LESSEBO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20478-2025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46217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46217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29659-2025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45825</v>
      </c>
      <c r="E248" s="1" t="n">
        <v>46217</v>
      </c>
      <c r="F248" t="inlineStr">
        <is>
          <t>KRONOBERGS LÄN</t>
        </is>
      </c>
      <c r="G248" t="inlineStr">
        <is>
          <t>LESSEBO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20854-2025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46217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20853-2025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46217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46217</v>
      </c>
      <c r="F251" t="inlineStr">
        <is>
          <t>KRONOBERGS LÄN</t>
        </is>
      </c>
      <c r="G251" t="inlineStr">
        <is>
          <t>LESSEBO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32712-2025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46217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35909-2025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46217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35899-2025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45862</v>
      </c>
      <c r="E254" s="1" t="n">
        <v>46217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2061-2022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44672</v>
      </c>
      <c r="E255" s="1" t="n">
        <v>46217</v>
      </c>
      <c r="F255" t="inlineStr">
        <is>
          <t>KRONOBERGS LÄN</t>
        </is>
      </c>
      <c r="G255" t="inlineStr">
        <is>
          <t>LESSEBO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46217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46217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46217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1592-2023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45056</v>
      </c>
      <c r="E259" s="1" t="n">
        <v>46217</v>
      </c>
      <c r="F259" t="inlineStr">
        <is>
          <t>KRONOBERGS LÄN</t>
        </is>
      </c>
      <c r="G259" t="inlineStr">
        <is>
          <t>LESSEBO</t>
        </is>
      </c>
      <c r="I259" t="n">
        <v>19.5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366-2023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46217</v>
      </c>
      <c r="F260" t="inlineStr">
        <is>
          <t>KRONOBERGS LÄN</t>
        </is>
      </c>
      <c r="G260" t="inlineStr">
        <is>
          <t>LESSEBO</t>
        </is>
      </c>
      <c r="I260" t="n">
        <v>35.8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6799-2022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46217</v>
      </c>
      <c r="F261" t="inlineStr">
        <is>
          <t>KRONOBERGS LÄN</t>
        </is>
      </c>
      <c r="G261" t="inlineStr">
        <is>
          <t>LESSEBO</t>
        </is>
      </c>
      <c r="I261" t="n">
        <v>28.2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6798-2022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46217</v>
      </c>
      <c r="F262" t="inlineStr">
        <is>
          <t>KRONOBERGS LÄN</t>
        </is>
      </c>
      <c r="G262" t="inlineStr">
        <is>
          <t>LESSEBO</t>
        </is>
      </c>
      <c r="I262" t="n">
        <v>149.8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1806-2023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45072</v>
      </c>
      <c r="E263" s="1" t="n">
        <v>46217</v>
      </c>
      <c r="F263" t="inlineStr">
        <is>
          <t>KRONOBERGS LÄN</t>
        </is>
      </c>
      <c r="G263" t="inlineStr">
        <is>
          <t>LESSEBO</t>
        </is>
      </c>
      <c r="I263" t="n">
        <v>61.9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3254-2023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45193</v>
      </c>
      <c r="E264" s="1" t="n">
        <v>46217</v>
      </c>
      <c r="F264" t="inlineStr">
        <is>
          <t>KRONOBERGS LÄN</t>
        </is>
      </c>
      <c r="G264" t="inlineStr">
        <is>
          <t>LESSEBO</t>
        </is>
      </c>
      <c r="I264" t="n">
        <v>88.59999999999999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1019-2024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45386</v>
      </c>
      <c r="E265" s="1" t="n">
        <v>46217</v>
      </c>
      <c r="F265" t="inlineStr">
        <is>
          <t>KRONOBERGS LÄN</t>
        </is>
      </c>
      <c r="G265" t="inlineStr">
        <is>
          <t>LESSEBO</t>
        </is>
      </c>
      <c r="I265" t="n">
        <v>14.5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4655-2022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44795</v>
      </c>
      <c r="E266" s="1" t="n">
        <v>46217</v>
      </c>
      <c r="F266" t="inlineStr">
        <is>
          <t>KRONOBERGS LÄN</t>
        </is>
      </c>
      <c r="G266" t="inlineStr">
        <is>
          <t>LESSEBO</t>
        </is>
      </c>
      <c r="I266" t="n">
        <v>19.1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312-2025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45688</v>
      </c>
      <c r="E267" s="1" t="n">
        <v>46217</v>
      </c>
      <c r="F267" t="inlineStr">
        <is>
          <t>KRONOBERGS LÄN</t>
        </is>
      </c>
      <c r="G267" t="inlineStr">
        <is>
          <t>LESSEBO</t>
        </is>
      </c>
      <c r="I267" t="n">
        <v>25.8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1799-2025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46217</v>
      </c>
      <c r="F268" t="inlineStr">
        <is>
          <t>KRONOBERGS LÄN</t>
        </is>
      </c>
      <c r="G268" t="inlineStr">
        <is>
          <t>LESSEBO</t>
        </is>
      </c>
      <c r="I268" t="n">
        <v>21.2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46217</v>
      </c>
      <c r="F269" t="inlineStr">
        <is>
          <t>KRONOBERGS LÄN</t>
        </is>
      </c>
      <c r="G269" t="inlineStr">
        <is>
          <t>LESSEBO</t>
        </is>
      </c>
      <c r="I269" t="n">
        <v>73.40000000000001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3564-2025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46217</v>
      </c>
      <c r="F270" t="inlineStr">
        <is>
          <t>KRONOBERGS LÄN</t>
        </is>
      </c>
      <c r="G270" t="inlineStr">
        <is>
          <t>LESSEBO</t>
        </is>
      </c>
      <c r="I270" t="n">
        <v>55.7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3565-2025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46217</v>
      </c>
      <c r="F271" t="inlineStr">
        <is>
          <t>KRONOBERGS LÄN</t>
        </is>
      </c>
      <c r="G271" t="inlineStr">
        <is>
          <t>LESSEBO</t>
        </is>
      </c>
      <c r="I271" t="n">
        <v>24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375-2026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46065</v>
      </c>
      <c r="E272" s="1" t="n">
        <v>46217</v>
      </c>
      <c r="F272" t="inlineStr">
        <is>
          <t>KRONOBERGS LÄN</t>
        </is>
      </c>
      <c r="G272" t="inlineStr">
        <is>
          <t>LESSEBO</t>
        </is>
      </c>
      <c r="I272" t="n">
        <v>17.6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>
      <c r="A273" t="inlineStr">
        <is>
          <t>S 1393-2026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46154</v>
      </c>
      <c r="E273" s="1" t="n">
        <v>46217</v>
      </c>
      <c r="F273" t="inlineStr">
        <is>
          <t>KRONOBERGS LÄN</t>
        </is>
      </c>
      <c r="G273" t="inlineStr">
        <is>
          <t>LESSEBO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2026-07-14T08:57:43Z</dcterms:created>
  <dcterms:modified xmlns:dcterms="http://purl.org/dc/terms/" xmlns:xsi="http://www.w3.org/2001/XMLSchema-instance" xsi:type="dcterms:W3CDTF">2026-07-14T08:57:43Z</dcterms:modified>
</cp:coreProperties>
</file>