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46196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46196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46196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</v>
      </c>
      <c r="C8" s="1" t="n">
        <v>46196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</row>
    <row r="9" ht="15" customHeight="1">
      <c r="A9" t="inlineStr">
        <is>
          <t>A 52539-2025</t>
        </is>
      </c>
      <c r="B9" s="1" t="n">
        <v>45954</v>
      </c>
      <c r="C9" s="1" t="n">
        <v>46196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52539-2025 artfynd.xlsx", "A 52539-2025")</f>
        <v/>
      </c>
      <c r="T9">
        <f>HYPERLINK("https://klasma.github.io/Logging_0761/kartor/A 52539-2025 karta.png", "A 52539-2025")</f>
        <v/>
      </c>
      <c r="V9">
        <f>HYPERLINK("https://klasma.github.io/Logging_0761/klagomål/A 52539-2025 FSC-klagomål.docx", "A 52539-2025")</f>
        <v/>
      </c>
      <c r="W9">
        <f>HYPERLINK("https://klasma.github.io/Logging_0761/klagomålsmail/A 52539-2025 FSC-klagomål mail.docx", "A 52539-2025")</f>
        <v/>
      </c>
      <c r="X9">
        <f>HYPERLINK("https://klasma.github.io/Logging_0761/tillsyn/A 52539-2025 tillsynsbegäran.docx", "A 52539-2025")</f>
        <v/>
      </c>
      <c r="Y9">
        <f>HYPERLINK("https://klasma.github.io/Logging_0761/tillsynsmail/A 52539-2025 tillsynsbegäran mail.docx", "A 52539-2025")</f>
        <v/>
      </c>
    </row>
    <row r="10" ht="15" customHeight="1">
      <c r="A10" t="inlineStr">
        <is>
          <t>A 1488-2025</t>
        </is>
      </c>
      <c r="B10" s="1" t="n">
        <v>45670</v>
      </c>
      <c r="C10" s="1" t="n">
        <v>46196</v>
      </c>
      <c r="D10" t="inlineStr">
        <is>
          <t>KRONOBERGS LÄN</t>
        </is>
      </c>
      <c r="E10" t="inlineStr">
        <is>
          <t>LESSEBO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HYPERLINK("https://klasma.github.io/Logging_0761/artfynd/A 1488-2025 artfynd.xlsx", "A 1488-2025")</f>
        <v/>
      </c>
      <c r="T10">
        <f>HYPERLINK("https://klasma.github.io/Logging_0761/kartor/A 1488-2025 karta.png", "A 1488-2025")</f>
        <v/>
      </c>
      <c r="V10">
        <f>HYPERLINK("https://klasma.github.io/Logging_0761/klagomål/A 1488-2025 FSC-klagomål.docx", "A 1488-2025")</f>
        <v/>
      </c>
      <c r="W10">
        <f>HYPERLINK("https://klasma.github.io/Logging_0761/klagomålsmail/A 1488-2025 FSC-klagomål mail.docx", "A 1488-2025")</f>
        <v/>
      </c>
      <c r="X10">
        <f>HYPERLINK("https://klasma.github.io/Logging_0761/tillsyn/A 1488-2025 tillsynsbegäran.docx", "A 1488-2025")</f>
        <v/>
      </c>
      <c r="Y10">
        <f>HYPERLINK("https://klasma.github.io/Logging_0761/tillsynsmail/A 1488-2025 tillsynsbegäran mail.docx", "A 1488-2025")</f>
        <v/>
      </c>
    </row>
    <row r="11" ht="15" customHeight="1">
      <c r="A11" t="inlineStr">
        <is>
          <t>A 56472-2024</t>
        </is>
      </c>
      <c r="B11" s="1" t="n">
        <v>45625</v>
      </c>
      <c r="C11" s="1" t="n">
        <v>46196</v>
      </c>
      <c r="D11" t="inlineStr">
        <is>
          <t>KRONOBERGS LÄN</t>
        </is>
      </c>
      <c r="E11" t="inlineStr">
        <is>
          <t>LESSEBO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HYPERLINK("https://klasma.github.io/Logging_0761/artfynd/A 56472-2024 artfynd.xlsx", "A 56472-2024")</f>
        <v/>
      </c>
      <c r="T11">
        <f>HYPERLINK("https://klasma.github.io/Logging_0761/kartor/A 56472-2024 karta.png", "A 56472-2024")</f>
        <v/>
      </c>
      <c r="V11">
        <f>HYPERLINK("https://klasma.github.io/Logging_0761/klagomål/A 56472-2024 FSC-klagomål.docx", "A 56472-2024")</f>
        <v/>
      </c>
      <c r="W11">
        <f>HYPERLINK("https://klasma.github.io/Logging_0761/klagomålsmail/A 56472-2024 FSC-klagomål mail.docx", "A 56472-2024")</f>
        <v/>
      </c>
      <c r="X11">
        <f>HYPERLINK("https://klasma.github.io/Logging_0761/tillsyn/A 56472-2024 tillsynsbegäran.docx", "A 56472-2024")</f>
        <v/>
      </c>
      <c r="Y11">
        <f>HYPERLINK("https://klasma.github.io/Logging_0761/tillsynsmail/A 56472-2024 tillsynsbegäran mail.docx", "A 56472-2024")</f>
        <v/>
      </c>
    </row>
    <row r="12" ht="15" customHeight="1">
      <c r="A12" t="inlineStr">
        <is>
          <t>A 37936-2021</t>
        </is>
      </c>
      <c r="B12" s="1" t="n">
        <v>44403</v>
      </c>
      <c r="C12" s="1" t="n">
        <v>46196</v>
      </c>
      <c r="D12" t="inlineStr">
        <is>
          <t>KRONOBERGS LÄN</t>
        </is>
      </c>
      <c r="E12" t="inlineStr">
        <is>
          <t>LESSEBO</t>
        </is>
      </c>
      <c r="G12" t="n">
        <v>6.2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HYPERLINK("https://klasma.github.io/Logging_0761/artfynd/A 37936-2021 artfynd.xlsx", "A 37936-2021")</f>
        <v/>
      </c>
      <c r="T12">
        <f>HYPERLINK("https://klasma.github.io/Logging_0761/kartor/A 37936-2021 karta.png", "A 37936-2021")</f>
        <v/>
      </c>
      <c r="U12">
        <f>HYPERLINK("https://klasma.github.io/Logging_0761/knärot/A 37936-2021 karta knärot.png", "A 37936-2021")</f>
        <v/>
      </c>
      <c r="V12">
        <f>HYPERLINK("https://klasma.github.io/Logging_0761/klagomål/A 37936-2021 FSC-klagomål.docx", "A 37936-2021")</f>
        <v/>
      </c>
      <c r="W12">
        <f>HYPERLINK("https://klasma.github.io/Logging_0761/klagomålsmail/A 37936-2021 FSC-klagomål mail.docx", "A 37936-2021")</f>
        <v/>
      </c>
      <c r="X12">
        <f>HYPERLINK("https://klasma.github.io/Logging_0761/tillsyn/A 37936-2021 tillsynsbegäran.docx", "A 37936-2021")</f>
        <v/>
      </c>
      <c r="Y12">
        <f>HYPERLINK("https://klasma.github.io/Logging_0761/tillsynsmail/A 37936-2021 tillsynsbegäran mail.docx", "A 37936-2021")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46196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46196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46196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46196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46196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46196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46196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46196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46196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46196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46196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46196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46196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46196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46196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46196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46196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46196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46196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</v>
      </c>
      <c r="C39" s="1" t="n">
        <v>46196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46196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56456-2024</t>
        </is>
      </c>
      <c r="B41" s="1" t="n">
        <v>45625</v>
      </c>
      <c r="C41" s="1" t="n">
        <v>46196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56459-2024</t>
        </is>
      </c>
      <c r="B42" s="1" t="n">
        <v>45625</v>
      </c>
      <c r="C42" s="1" t="n">
        <v>46196</v>
      </c>
      <c r="D42" t="inlineStr">
        <is>
          <t>KRONOBERGS LÄN</t>
        </is>
      </c>
      <c r="E42" t="inlineStr">
        <is>
          <t>LESSEBO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68507-2021</t>
        </is>
      </c>
      <c r="B43" s="1" t="n">
        <v>44529</v>
      </c>
      <c r="C43" s="1" t="n">
        <v>46196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1367-2023</t>
        </is>
      </c>
      <c r="B44" s="1" t="n">
        <v>44936</v>
      </c>
      <c r="C44" s="1" t="n">
        <v>46196</v>
      </c>
      <c r="D44" t="inlineStr">
        <is>
          <t>KRONOBERGS LÄN</t>
        </is>
      </c>
      <c r="E44" t="inlineStr">
        <is>
          <t>LESSEBO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24478-2024</t>
        </is>
      </c>
      <c r="B45" s="1" t="n">
        <v>45459</v>
      </c>
      <c r="C45" s="1" t="n">
        <v>46196</v>
      </c>
      <c r="D45" t="inlineStr">
        <is>
          <t>KRONOBERGS LÄN</t>
        </is>
      </c>
      <c r="E45" t="inlineStr">
        <is>
          <t>LESSEBO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21951-2025</t>
        </is>
      </c>
      <c r="B46" s="1" t="n">
        <v>45784</v>
      </c>
      <c r="C46" s="1" t="n">
        <v>46196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30966-2023</t>
        </is>
      </c>
      <c r="B47" s="1" t="n">
        <v>45113</v>
      </c>
      <c r="C47" s="1" t="n">
        <v>46196</v>
      </c>
      <c r="D47" t="inlineStr">
        <is>
          <t>KRONOBERGS LÄN</t>
        </is>
      </c>
      <c r="E47" t="inlineStr">
        <is>
          <t>LESSEBO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37964-2024</t>
        </is>
      </c>
      <c r="B48" s="1" t="n">
        <v>45544</v>
      </c>
      <c r="C48" s="1" t="n">
        <v>46196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4742-2025</t>
        </is>
      </c>
      <c r="B49" s="1" t="n">
        <v>45688</v>
      </c>
      <c r="C49" s="1" t="n">
        <v>46196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29566-2024</t>
        </is>
      </c>
      <c r="B50" s="1" t="n">
        <v>45484</v>
      </c>
      <c r="C50" s="1" t="n">
        <v>46196</v>
      </c>
      <c r="D50" t="inlineStr">
        <is>
          <t>KRONOBERGS LÄN</t>
        </is>
      </c>
      <c r="E50" t="inlineStr">
        <is>
          <t>LESSEBO</t>
        </is>
      </c>
      <c r="G50" t="n">
        <v>21.3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52031-2025</t>
        </is>
      </c>
      <c r="B51" s="1" t="n">
        <v>45952</v>
      </c>
      <c r="C51" s="1" t="n">
        <v>46196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52537-2025</t>
        </is>
      </c>
      <c r="B52" s="1" t="n">
        <v>45954</v>
      </c>
      <c r="C52" s="1" t="n">
        <v>46196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52531-2025</t>
        </is>
      </c>
      <c r="B53" s="1" t="n">
        <v>45954</v>
      </c>
      <c r="C53" s="1" t="n">
        <v>46196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52532-2025</t>
        </is>
      </c>
      <c r="B54" s="1" t="n">
        <v>45954</v>
      </c>
      <c r="C54" s="1" t="n">
        <v>46196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</v>
      </c>
      <c r="C55" s="1" t="n">
        <v>46196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52546-2025</t>
        </is>
      </c>
      <c r="B56" s="1" t="n">
        <v>45954</v>
      </c>
      <c r="C56" s="1" t="n">
        <v>46196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52534-2025</t>
        </is>
      </c>
      <c r="B57" s="1" t="n">
        <v>45954</v>
      </c>
      <c r="C57" s="1" t="n">
        <v>46196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53120-2025</t>
        </is>
      </c>
      <c r="B58" s="1" t="n">
        <v>45958</v>
      </c>
      <c r="C58" s="1" t="n">
        <v>46196</v>
      </c>
      <c r="D58" t="inlineStr">
        <is>
          <t>KRONOBERGS LÄN</t>
        </is>
      </c>
      <c r="E58" t="inlineStr">
        <is>
          <t>LESSEBO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53122-2025</t>
        </is>
      </c>
      <c r="B59" s="1" t="n">
        <v>45958</v>
      </c>
      <c r="C59" s="1" t="n">
        <v>46196</v>
      </c>
      <c r="D59" t="inlineStr">
        <is>
          <t>KRONOBERGS LÄN</t>
        </is>
      </c>
      <c r="E59" t="inlineStr">
        <is>
          <t>LESSEBO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53522-2025</t>
        </is>
      </c>
      <c r="B60" s="1" t="n">
        <v>45960</v>
      </c>
      <c r="C60" s="1" t="n">
        <v>46196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53571-2025</t>
        </is>
      </c>
      <c r="B61" s="1" t="n">
        <v>45960</v>
      </c>
      <c r="C61" s="1" t="n">
        <v>46196</v>
      </c>
      <c r="D61" t="inlineStr">
        <is>
          <t>KRONOBERGS LÄN</t>
        </is>
      </c>
      <c r="E61" t="inlineStr">
        <is>
          <t>LESSEBO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10047-2024</t>
        </is>
      </c>
      <c r="B62" s="1" t="n">
        <v>45364</v>
      </c>
      <c r="C62" s="1" t="n">
        <v>46196</v>
      </c>
      <c r="D62" t="inlineStr">
        <is>
          <t>KRONOBERGS LÄN</t>
        </is>
      </c>
      <c r="E62" t="inlineStr">
        <is>
          <t>LESSEBO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</v>
      </c>
      <c r="C63" s="1" t="n">
        <v>46196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39549-2025</t>
        </is>
      </c>
      <c r="B64" s="1" t="n">
        <v>45890</v>
      </c>
      <c r="C64" s="1" t="n">
        <v>46196</v>
      </c>
      <c r="D64" t="inlineStr">
        <is>
          <t>KRONOBERGS LÄN</t>
        </is>
      </c>
      <c r="E64" t="inlineStr">
        <is>
          <t>LESSEBO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39750-2025</t>
        </is>
      </c>
      <c r="B65" s="1" t="n">
        <v>45891</v>
      </c>
      <c r="C65" s="1" t="n">
        <v>46196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10414-2025</t>
        </is>
      </c>
      <c r="B66" s="1" t="n">
        <v>45720</v>
      </c>
      <c r="C66" s="1" t="n">
        <v>46196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49295-2025</t>
        </is>
      </c>
      <c r="B67" s="1" t="n">
        <v>45938</v>
      </c>
      <c r="C67" s="1" t="n">
        <v>46196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53487-2024</t>
        </is>
      </c>
      <c r="B68" s="1" t="n">
        <v>45611</v>
      </c>
      <c r="C68" s="1" t="n">
        <v>46196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35904-2025</t>
        </is>
      </c>
      <c r="B69" s="1" t="n">
        <v>45862</v>
      </c>
      <c r="C69" s="1" t="n">
        <v>46196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32667-2021</t>
        </is>
      </c>
      <c r="B70" s="1" t="n">
        <v>44375</v>
      </c>
      <c r="C70" s="1" t="n">
        <v>46196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8173-2025</t>
        </is>
      </c>
      <c r="B71" s="1" t="n">
        <v>45708</v>
      </c>
      <c r="C71" s="1" t="n">
        <v>46196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46196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43809-2025</t>
        </is>
      </c>
      <c r="B73" s="1" t="n">
        <v>45912</v>
      </c>
      <c r="C73" s="1" t="n">
        <v>46196</v>
      </c>
      <c r="D73" t="inlineStr">
        <is>
          <t>KRONOBERGS LÄN</t>
        </is>
      </c>
      <c r="E73" t="inlineStr">
        <is>
          <t>LESSEBO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15203-2023</t>
        </is>
      </c>
      <c r="B74" s="1" t="n">
        <v>45017</v>
      </c>
      <c r="C74" s="1" t="n">
        <v>46196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15204-2023</t>
        </is>
      </c>
      <c r="B75" s="1" t="n">
        <v>45017</v>
      </c>
      <c r="C75" s="1" t="n">
        <v>46196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44904-2025</t>
        </is>
      </c>
      <c r="B76" s="1" t="n">
        <v>45918</v>
      </c>
      <c r="C76" s="1" t="n">
        <v>46196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8655-2025</t>
        </is>
      </c>
      <c r="B77" s="1" t="n">
        <v>45710</v>
      </c>
      <c r="C77" s="1" t="n">
        <v>46196</v>
      </c>
      <c r="D77" t="inlineStr">
        <is>
          <t>KRONOBERGS LÄN</t>
        </is>
      </c>
      <c r="E77" t="inlineStr">
        <is>
          <t>LESSEBO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44899-2025</t>
        </is>
      </c>
      <c r="B78" s="1" t="n">
        <v>45918</v>
      </c>
      <c r="C78" s="1" t="n">
        <v>46196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</v>
      </c>
      <c r="C79" s="1" t="n">
        <v>46196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859-2025</t>
        </is>
      </c>
      <c r="B80" s="1" t="n">
        <v>45665</v>
      </c>
      <c r="C80" s="1" t="n">
        <v>46196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61638-2025</t>
        </is>
      </c>
      <c r="B81" s="1" t="n">
        <v>46002</v>
      </c>
      <c r="C81" s="1" t="n">
        <v>46196</v>
      </c>
      <c r="D81" t="inlineStr">
        <is>
          <t>KRONOBERGS LÄN</t>
        </is>
      </c>
      <c r="E81" t="inlineStr">
        <is>
          <t>LESSEBO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61641-2025</t>
        </is>
      </c>
      <c r="B82" s="1" t="n">
        <v>46002</v>
      </c>
      <c r="C82" s="1" t="n">
        <v>46196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48429-2025</t>
        </is>
      </c>
      <c r="B83" s="1" t="n">
        <v>45934</v>
      </c>
      <c r="C83" s="1" t="n">
        <v>46196</v>
      </c>
      <c r="D83" t="inlineStr">
        <is>
          <t>KRONOBERGS LÄN</t>
        </is>
      </c>
      <c r="E83" t="inlineStr">
        <is>
          <t>LESSEBO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48433-2025</t>
        </is>
      </c>
      <c r="B84" s="1" t="n">
        <v>45934</v>
      </c>
      <c r="C84" s="1" t="n">
        <v>46196</v>
      </c>
      <c r="D84" t="inlineStr">
        <is>
          <t>KRONOBERGS LÄN</t>
        </is>
      </c>
      <c r="E84" t="inlineStr">
        <is>
          <t>LESSEBO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</v>
      </c>
      <c r="C85" s="1" t="n">
        <v>46196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17729-2025</t>
        </is>
      </c>
      <c r="B86" s="1" t="n">
        <v>45758</v>
      </c>
      <c r="C86" s="1" t="n">
        <v>46196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45838-2022</t>
        </is>
      </c>
      <c r="B87" s="1" t="n">
        <v>44846</v>
      </c>
      <c r="C87" s="1" t="n">
        <v>46196</v>
      </c>
      <c r="D87" t="inlineStr">
        <is>
          <t>KRONOBERGS LÄN</t>
        </is>
      </c>
      <c r="E87" t="inlineStr">
        <is>
          <t>LESSEBO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49298-2025</t>
        </is>
      </c>
      <c r="B88" s="1" t="n">
        <v>45938</v>
      </c>
      <c r="C88" s="1" t="n">
        <v>46196</v>
      </c>
      <c r="D88" t="inlineStr">
        <is>
          <t>KRONOBERGS LÄN</t>
        </is>
      </c>
      <c r="E88" t="inlineStr">
        <is>
          <t>LESSEBO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62728-2025</t>
        </is>
      </c>
      <c r="B89" s="1" t="n">
        <v>46008</v>
      </c>
      <c r="C89" s="1" t="n">
        <v>46196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29659-2025</t>
        </is>
      </c>
      <c r="B90" s="1" t="n">
        <v>45825</v>
      </c>
      <c r="C90" s="1" t="n">
        <v>46196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20485-2025</t>
        </is>
      </c>
      <c r="B91" s="1" t="n">
        <v>45775</v>
      </c>
      <c r="C91" s="1" t="n">
        <v>46196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20443-2025</t>
        </is>
      </c>
      <c r="B92" s="1" t="n">
        <v>45775</v>
      </c>
      <c r="C92" s="1" t="n">
        <v>46196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</v>
      </c>
      <c r="C93" s="1" t="n">
        <v>46196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20854-2025</t>
        </is>
      </c>
      <c r="B94" s="1" t="n">
        <v>45777</v>
      </c>
      <c r="C94" s="1" t="n">
        <v>46196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20853-2025</t>
        </is>
      </c>
      <c r="B95" s="1" t="n">
        <v>45777</v>
      </c>
      <c r="C95" s="1" t="n">
        <v>46196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30527-2025</t>
        </is>
      </c>
      <c r="B96" s="1" t="n">
        <v>45831</v>
      </c>
      <c r="C96" s="1" t="n">
        <v>46196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46196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1022-2026</t>
        </is>
      </c>
      <c r="B98" s="1" t="n">
        <v>46030</v>
      </c>
      <c r="C98" s="1" t="n">
        <v>46196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1016-2026</t>
        </is>
      </c>
      <c r="B99" s="1" t="n">
        <v>46030</v>
      </c>
      <c r="C99" s="1" t="n">
        <v>46196</v>
      </c>
      <c r="D99" t="inlineStr">
        <is>
          <t>KRONOBERGS LÄN</t>
        </is>
      </c>
      <c r="E99" t="inlineStr">
        <is>
          <t>LESSEBO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32712-2025</t>
        </is>
      </c>
      <c r="B100" s="1" t="n">
        <v>45839</v>
      </c>
      <c r="C100" s="1" t="n">
        <v>46196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9216-2025</t>
        </is>
      </c>
      <c r="B101" s="1" t="n">
        <v>45714</v>
      </c>
      <c r="C101" s="1" t="n">
        <v>46196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4236-2026</t>
        </is>
      </c>
      <c r="B102" s="1" t="n">
        <v>46044</v>
      </c>
      <c r="C102" s="1" t="n">
        <v>46196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4229-2026</t>
        </is>
      </c>
      <c r="B103" s="1" t="n">
        <v>46044</v>
      </c>
      <c r="C103" s="1" t="n">
        <v>46196</v>
      </c>
      <c r="D103" t="inlineStr">
        <is>
          <t>KRONOBERGS LÄN</t>
        </is>
      </c>
      <c r="E103" t="inlineStr">
        <is>
          <t>LESSEBO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35909-2025</t>
        </is>
      </c>
      <c r="B104" s="1" t="n">
        <v>45862</v>
      </c>
      <c r="C104" s="1" t="n">
        <v>46196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35899-2025</t>
        </is>
      </c>
      <c r="B105" s="1" t="n">
        <v>45862</v>
      </c>
      <c r="C105" s="1" t="n">
        <v>46196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7957-2023</t>
        </is>
      </c>
      <c r="B106" s="1" t="n">
        <v>44973</v>
      </c>
      <c r="C106" s="1" t="n">
        <v>46196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8438-2026</t>
        </is>
      </c>
      <c r="B107" s="1" t="n">
        <v>46065</v>
      </c>
      <c r="C107" s="1" t="n">
        <v>46196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8174-2025</t>
        </is>
      </c>
      <c r="B108" s="1" t="n">
        <v>45708</v>
      </c>
      <c r="C108" s="1" t="n">
        <v>46196</v>
      </c>
      <c r="D108" t="inlineStr">
        <is>
          <t>KRONOBERGS LÄN</t>
        </is>
      </c>
      <c r="E108" t="inlineStr">
        <is>
          <t>LESSEBO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10189-2026</t>
        </is>
      </c>
      <c r="B109" s="1" t="n">
        <v>46076</v>
      </c>
      <c r="C109" s="1" t="n">
        <v>46196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10286-2026</t>
        </is>
      </c>
      <c r="B110" s="1" t="n">
        <v>46076</v>
      </c>
      <c r="C110" s="1" t="n">
        <v>46196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10185-2026</t>
        </is>
      </c>
      <c r="B111" s="1" t="n">
        <v>46076</v>
      </c>
      <c r="C111" s="1" t="n">
        <v>46196</v>
      </c>
      <c r="D111" t="inlineStr">
        <is>
          <t>KRONOBERGS LÄN</t>
        </is>
      </c>
      <c r="E111" t="inlineStr">
        <is>
          <t>LESSEBO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17836-2023</t>
        </is>
      </c>
      <c r="B112" s="1" t="n">
        <v>45037</v>
      </c>
      <c r="C112" s="1" t="n">
        <v>46196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46196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19501-2022</t>
        </is>
      </c>
      <c r="B114" s="1" t="n">
        <v>44693</v>
      </c>
      <c r="C114" s="1" t="n">
        <v>46196</v>
      </c>
      <c r="D114" t="inlineStr">
        <is>
          <t>KRONOBERGS LÄN</t>
        </is>
      </c>
      <c r="E114" t="inlineStr">
        <is>
          <t>LESSEBO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50154-2022</t>
        </is>
      </c>
      <c r="B115" s="1" t="n">
        <v>44865</v>
      </c>
      <c r="C115" s="1" t="n">
        <v>46196</v>
      </c>
      <c r="D115" t="inlineStr">
        <is>
          <t>KRONOBERGS LÄN</t>
        </is>
      </c>
      <c r="E115" t="inlineStr">
        <is>
          <t>LESSEBO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13347-2026</t>
        </is>
      </c>
      <c r="B116" s="1" t="n">
        <v>46094</v>
      </c>
      <c r="C116" s="1" t="n">
        <v>46196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29767-2023</t>
        </is>
      </c>
      <c r="B117" s="1" t="n">
        <v>45107</v>
      </c>
      <c r="C117" s="1" t="n">
        <v>46196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41905-2022</t>
        </is>
      </c>
      <c r="B118" s="1" t="n">
        <v>44830</v>
      </c>
      <c r="C118" s="1" t="n">
        <v>46196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22318-2026</t>
        </is>
      </c>
      <c r="B119" s="1" t="n">
        <v>46154</v>
      </c>
      <c r="C119" s="1" t="n">
        <v>46196</v>
      </c>
      <c r="D119" t="inlineStr">
        <is>
          <t>KRONOBERGS LÄN</t>
        </is>
      </c>
      <c r="E119" t="inlineStr">
        <is>
          <t>LESSEBO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22423-2026</t>
        </is>
      </c>
      <c r="B120" s="1" t="n">
        <v>46154</v>
      </c>
      <c r="C120" s="1" t="n">
        <v>46196</v>
      </c>
      <c r="D120" t="inlineStr">
        <is>
          <t>KRONOBERGS LÄN</t>
        </is>
      </c>
      <c r="E120" t="inlineStr">
        <is>
          <t>LESSEBO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3955-2022</t>
        </is>
      </c>
      <c r="B121" s="1" t="n">
        <v>44587</v>
      </c>
      <c r="C121" s="1" t="n">
        <v>46196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22756-2026</t>
        </is>
      </c>
      <c r="B122" s="1" t="n">
        <v>46157</v>
      </c>
      <c r="C122" s="1" t="n">
        <v>46196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22764-2026</t>
        </is>
      </c>
      <c r="B123" s="1" t="n">
        <v>46157</v>
      </c>
      <c r="C123" s="1" t="n">
        <v>46196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22768-2026</t>
        </is>
      </c>
      <c r="B124" s="1" t="n">
        <v>46157</v>
      </c>
      <c r="C124" s="1" t="n">
        <v>46196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22770-2026</t>
        </is>
      </c>
      <c r="B125" s="1" t="n">
        <v>46157</v>
      </c>
      <c r="C125" s="1" t="n">
        <v>46196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22720-2026</t>
        </is>
      </c>
      <c r="B126" s="1" t="n">
        <v>46157</v>
      </c>
      <c r="C126" s="1" t="n">
        <v>46196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22723-2026</t>
        </is>
      </c>
      <c r="B127" s="1" t="n">
        <v>46157</v>
      </c>
      <c r="C127" s="1" t="n">
        <v>46196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22758-2026</t>
        </is>
      </c>
      <c r="B128" s="1" t="n">
        <v>46157</v>
      </c>
      <c r="C128" s="1" t="n">
        <v>46196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22766-2026</t>
        </is>
      </c>
      <c r="B129" s="1" t="n">
        <v>46157</v>
      </c>
      <c r="C129" s="1" t="n">
        <v>46196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22719-2026</t>
        </is>
      </c>
      <c r="B130" s="1" t="n">
        <v>46157</v>
      </c>
      <c r="C130" s="1" t="n">
        <v>46196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22718-2026</t>
        </is>
      </c>
      <c r="B131" s="1" t="n">
        <v>46157</v>
      </c>
      <c r="C131" s="1" t="n">
        <v>46196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60358-2022</t>
        </is>
      </c>
      <c r="B132" s="1" t="n">
        <v>44910</v>
      </c>
      <c r="C132" s="1" t="n">
        <v>46196</v>
      </c>
      <c r="D132" t="inlineStr">
        <is>
          <t>KRONOBERGS LÄN</t>
        </is>
      </c>
      <c r="E132" t="inlineStr">
        <is>
          <t>LESSEBO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18624-2026</t>
        </is>
      </c>
      <c r="B133" s="1" t="n">
        <v>46127</v>
      </c>
      <c r="C133" s="1" t="n">
        <v>46196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18625-2026</t>
        </is>
      </c>
      <c r="B134" s="1" t="n">
        <v>46127</v>
      </c>
      <c r="C134" s="1" t="n">
        <v>46196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24269-2026</t>
        </is>
      </c>
      <c r="B135" s="1" t="n">
        <v>46169</v>
      </c>
      <c r="C135" s="1" t="n">
        <v>46196</v>
      </c>
      <c r="D135" t="inlineStr">
        <is>
          <t>KRONOBERGS LÄN</t>
        </is>
      </c>
      <c r="E135" t="inlineStr">
        <is>
          <t>LESSEBO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24271-2026</t>
        </is>
      </c>
      <c r="B136" s="1" t="n">
        <v>46169</v>
      </c>
      <c r="C136" s="1" t="n">
        <v>46196</v>
      </c>
      <c r="D136" t="inlineStr">
        <is>
          <t>KRONOBERGS LÄN</t>
        </is>
      </c>
      <c r="E136" t="inlineStr">
        <is>
          <t>LESSEBO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24272-2026</t>
        </is>
      </c>
      <c r="B137" s="1" t="n">
        <v>46169</v>
      </c>
      <c r="C137" s="1" t="n">
        <v>46196</v>
      </c>
      <c r="D137" t="inlineStr">
        <is>
          <t>KRONOBERGS LÄN</t>
        </is>
      </c>
      <c r="E137" t="inlineStr">
        <is>
          <t>LESSEBO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18464-2026</t>
        </is>
      </c>
      <c r="B138" s="1" t="n">
        <v>46127</v>
      </c>
      <c r="C138" s="1" t="n">
        <v>46196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24275-2026</t>
        </is>
      </c>
      <c r="B139" s="1" t="n">
        <v>46169</v>
      </c>
      <c r="C139" s="1" t="n">
        <v>46196</v>
      </c>
      <c r="D139" t="inlineStr">
        <is>
          <t>KRONOBERGS LÄN</t>
        </is>
      </c>
      <c r="E139" t="inlineStr">
        <is>
          <t>LESSEBO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18466-2026</t>
        </is>
      </c>
      <c r="B140" s="1" t="n">
        <v>46127</v>
      </c>
      <c r="C140" s="1" t="n">
        <v>46196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25169-2026</t>
        </is>
      </c>
      <c r="B141" s="1" t="n">
        <v>46175</v>
      </c>
      <c r="C141" s="1" t="n">
        <v>46196</v>
      </c>
      <c r="D141" t="inlineStr">
        <is>
          <t>KRONOBERGS LÄN</t>
        </is>
      </c>
      <c r="E141" t="inlineStr">
        <is>
          <t>LESSEBO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20056-2025</t>
        </is>
      </c>
      <c r="B142" s="1" t="n">
        <v>45772</v>
      </c>
      <c r="C142" s="1" t="n">
        <v>46196</v>
      </c>
      <c r="D142" t="inlineStr">
        <is>
          <t>KRONOBERGS LÄN</t>
        </is>
      </c>
      <c r="E142" t="inlineStr">
        <is>
          <t>LESSEBO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36895-2025</t>
        </is>
      </c>
      <c r="B143" s="1" t="n">
        <v>45874</v>
      </c>
      <c r="C143" s="1" t="n">
        <v>46196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38303-2025</t>
        </is>
      </c>
      <c r="B144" s="1" t="n">
        <v>45883</v>
      </c>
      <c r="C144" s="1" t="n">
        <v>46196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56471-2024</t>
        </is>
      </c>
      <c r="B145" s="1" t="n">
        <v>45625</v>
      </c>
      <c r="C145" s="1" t="n">
        <v>46196</v>
      </c>
      <c r="D145" t="inlineStr">
        <is>
          <t>KRONOBERGS LÄN</t>
        </is>
      </c>
      <c r="E145" t="inlineStr">
        <is>
          <t>LESSEBO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17517-2023</t>
        </is>
      </c>
      <c r="B146" s="1" t="n">
        <v>45036</v>
      </c>
      <c r="C146" s="1" t="n">
        <v>46196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21917-2025</t>
        </is>
      </c>
      <c r="B147" s="1" t="n">
        <v>45784</v>
      </c>
      <c r="C147" s="1" t="n">
        <v>46196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1894-2025</t>
        </is>
      </c>
      <c r="B148" s="1" t="n">
        <v>45671</v>
      </c>
      <c r="C148" s="1" t="n">
        <v>46196</v>
      </c>
      <c r="D148" t="inlineStr">
        <is>
          <t>KRONOBERGS LÄN</t>
        </is>
      </c>
      <c r="E148" t="inlineStr">
        <is>
          <t>LESSEBO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20541-2024</t>
        </is>
      </c>
      <c r="B149" s="1" t="n">
        <v>45436</v>
      </c>
      <c r="C149" s="1" t="n">
        <v>46196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20855-2025</t>
        </is>
      </c>
      <c r="B150" s="1" t="n">
        <v>45777</v>
      </c>
      <c r="C150" s="1" t="n">
        <v>46196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64635-2023</t>
        </is>
      </c>
      <c r="B151" s="1" t="n">
        <v>45281</v>
      </c>
      <c r="C151" s="1" t="n">
        <v>46196</v>
      </c>
      <c r="D151" t="inlineStr">
        <is>
          <t>KRONOBERGS LÄN</t>
        </is>
      </c>
      <c r="E151" t="inlineStr">
        <is>
          <t>LESSEBO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14584-2023</t>
        </is>
      </c>
      <c r="B152" s="1" t="n">
        <v>45013</v>
      </c>
      <c r="C152" s="1" t="n">
        <v>46196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47693-2025</t>
        </is>
      </c>
      <c r="B153" s="1" t="n">
        <v>45931</v>
      </c>
      <c r="C153" s="1" t="n">
        <v>46196</v>
      </c>
      <c r="D153" t="inlineStr">
        <is>
          <t>KRONOBERGS LÄN</t>
        </is>
      </c>
      <c r="E153" t="inlineStr">
        <is>
          <t>LESSEBO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73140-2021</t>
        </is>
      </c>
      <c r="B154" s="1" t="n">
        <v>44550</v>
      </c>
      <c r="C154" s="1" t="n">
        <v>46196</v>
      </c>
      <c r="D154" t="inlineStr">
        <is>
          <t>KRONOBERGS LÄN</t>
        </is>
      </c>
      <c r="E154" t="inlineStr">
        <is>
          <t>LESSEBO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35894-2025</t>
        </is>
      </c>
      <c r="B155" s="1" t="n">
        <v>45862</v>
      </c>
      <c r="C155" s="1" t="n">
        <v>46196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30405-2023</t>
        </is>
      </c>
      <c r="B156" s="1" t="n">
        <v>45111</v>
      </c>
      <c r="C156" s="1" t="n">
        <v>46196</v>
      </c>
      <c r="D156" t="inlineStr">
        <is>
          <t>KRONOBERGS LÄN</t>
        </is>
      </c>
      <c r="E156" t="inlineStr">
        <is>
          <t>LESSEBO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21311-2026</t>
        </is>
      </c>
      <c r="B157" s="1" t="n">
        <v>46147</v>
      </c>
      <c r="C157" s="1" t="n">
        <v>46196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27870-2026</t>
        </is>
      </c>
      <c r="B158" s="1" t="n">
        <v>46191</v>
      </c>
      <c r="C158" s="1" t="n">
        <v>46196</v>
      </c>
      <c r="D158" t="inlineStr">
        <is>
          <t>KRONOBERGS LÄN</t>
        </is>
      </c>
      <c r="E158" t="inlineStr">
        <is>
          <t>LESSEBO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27873-2026</t>
        </is>
      </c>
      <c r="B159" s="1" t="n">
        <v>46191</v>
      </c>
      <c r="C159" s="1" t="n">
        <v>46196</v>
      </c>
      <c r="D159" t="inlineStr">
        <is>
          <t>KRONOBERGS LÄN</t>
        </is>
      </c>
      <c r="E159" t="inlineStr">
        <is>
          <t>LESSEBO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3239-2025</t>
        </is>
      </c>
      <c r="B160" s="1" t="n">
        <v>45679</v>
      </c>
      <c r="C160" s="1" t="n">
        <v>46196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52525-2023</t>
        </is>
      </c>
      <c r="B161" s="1" t="n">
        <v>45225</v>
      </c>
      <c r="C161" s="1" t="n">
        <v>46196</v>
      </c>
      <c r="D161" t="inlineStr">
        <is>
          <t>KRONOBERGS LÄN</t>
        </is>
      </c>
      <c r="E161" t="inlineStr">
        <is>
          <t>LESSEBO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51191-2023</t>
        </is>
      </c>
      <c r="B162" s="1" t="n">
        <v>45219</v>
      </c>
      <c r="C162" s="1" t="n">
        <v>46196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56467-2024</t>
        </is>
      </c>
      <c r="B163" s="1" t="n">
        <v>45625</v>
      </c>
      <c r="C163" s="1" t="n">
        <v>46196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3876-2024</t>
        </is>
      </c>
      <c r="B164" s="1" t="n">
        <v>45322</v>
      </c>
      <c r="C164" s="1" t="n">
        <v>46196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1490-2025</t>
        </is>
      </c>
      <c r="B165" s="1" t="n">
        <v>45670</v>
      </c>
      <c r="C165" s="1" t="n">
        <v>46196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54541-2023</t>
        </is>
      </c>
      <c r="B166" s="1" t="n">
        <v>45233</v>
      </c>
      <c r="C166" s="1" t="n">
        <v>46196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51189-2023</t>
        </is>
      </c>
      <c r="B167" s="1" t="n">
        <v>45219</v>
      </c>
      <c r="C167" s="1" t="n">
        <v>46196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8690-2023</t>
        </is>
      </c>
      <c r="B168" s="1" t="n">
        <v>44978</v>
      </c>
      <c r="C168" s="1" t="n">
        <v>46196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57519-2022</t>
        </is>
      </c>
      <c r="B169" s="1" t="n">
        <v>44896</v>
      </c>
      <c r="C169" s="1" t="n">
        <v>46196</v>
      </c>
      <c r="D169" t="inlineStr">
        <is>
          <t>KRONOBERGS LÄN</t>
        </is>
      </c>
      <c r="E169" t="inlineStr">
        <is>
          <t>LESSEBO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56475-2024</t>
        </is>
      </c>
      <c r="B170" s="1" t="n">
        <v>45625</v>
      </c>
      <c r="C170" s="1" t="n">
        <v>46196</v>
      </c>
      <c r="D170" t="inlineStr">
        <is>
          <t>KRONOBERGS LÄN</t>
        </is>
      </c>
      <c r="E170" t="inlineStr">
        <is>
          <t>LESSEBO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65137-2023</t>
        </is>
      </c>
      <c r="B171" s="1" t="n">
        <v>45288</v>
      </c>
      <c r="C171" s="1" t="n">
        <v>46196</v>
      </c>
      <c r="D171" t="inlineStr">
        <is>
          <t>KRONOBERGS LÄN</t>
        </is>
      </c>
      <c r="E171" t="inlineStr">
        <is>
          <t>LESSEBO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20824-2023</t>
        </is>
      </c>
      <c r="B172" s="1" t="n">
        <v>45058</v>
      </c>
      <c r="C172" s="1" t="n">
        <v>46196</v>
      </c>
      <c r="D172" t="inlineStr">
        <is>
          <t>KRONOBERGS LÄN</t>
        </is>
      </c>
      <c r="E172" t="inlineStr">
        <is>
          <t>LESSEBO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17204-2025</t>
        </is>
      </c>
      <c r="B173" s="1" t="n">
        <v>45756</v>
      </c>
      <c r="C173" s="1" t="n">
        <v>46196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27191-2022</t>
        </is>
      </c>
      <c r="B174" s="1" t="n">
        <v>44741</v>
      </c>
      <c r="C174" s="1" t="n">
        <v>46196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49121-2024</t>
        </is>
      </c>
      <c r="B175" s="1" t="n">
        <v>45594</v>
      </c>
      <c r="C175" s="1" t="n">
        <v>46196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47396-2024</t>
        </is>
      </c>
      <c r="B176" s="1" t="n">
        <v>45587</v>
      </c>
      <c r="C176" s="1" t="n">
        <v>46196</v>
      </c>
      <c r="D176" t="inlineStr">
        <is>
          <t>KRONOBERGS LÄN</t>
        </is>
      </c>
      <c r="E176" t="inlineStr">
        <is>
          <t>LESSEBO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1897-2025</t>
        </is>
      </c>
      <c r="B177" s="1" t="n">
        <v>45671</v>
      </c>
      <c r="C177" s="1" t="n">
        <v>46196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51175-2023</t>
        </is>
      </c>
      <c r="B178" s="1" t="n">
        <v>45219</v>
      </c>
      <c r="C178" s="1" t="n">
        <v>46196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61995-2022</t>
        </is>
      </c>
      <c r="B179" s="1" t="n">
        <v>44918</v>
      </c>
      <c r="C179" s="1" t="n">
        <v>46196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14551-2025</t>
        </is>
      </c>
      <c r="B180" s="1" t="n">
        <v>45741</v>
      </c>
      <c r="C180" s="1" t="n">
        <v>46196</v>
      </c>
      <c r="D180" t="inlineStr">
        <is>
          <t>KRONOBERGS LÄN</t>
        </is>
      </c>
      <c r="E180" t="inlineStr">
        <is>
          <t>LESSEBO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4107-2025</t>
        </is>
      </c>
      <c r="B181" s="1" t="n">
        <v>45684</v>
      </c>
      <c r="C181" s="1" t="n">
        <v>46196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3875-2024</t>
        </is>
      </c>
      <c r="B182" s="1" t="n">
        <v>45322</v>
      </c>
      <c r="C182" s="1" t="n">
        <v>46196</v>
      </c>
      <c r="D182" t="inlineStr">
        <is>
          <t>KRONOBERGS LÄN</t>
        </is>
      </c>
      <c r="E182" t="inlineStr">
        <is>
          <t>LESSEBO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50892-2022</t>
        </is>
      </c>
      <c r="B183" s="1" t="n">
        <v>44867</v>
      </c>
      <c r="C183" s="1" t="n">
        <v>46196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46196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4465-2024</t>
        </is>
      </c>
      <c r="B185" s="1" t="n">
        <v>45327</v>
      </c>
      <c r="C185" s="1" t="n">
        <v>46196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4453-2024</t>
        </is>
      </c>
      <c r="B186" s="1" t="n">
        <v>45327</v>
      </c>
      <c r="C186" s="1" t="n">
        <v>46196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50162-2023</t>
        </is>
      </c>
      <c r="B187" s="1" t="n">
        <v>45215</v>
      </c>
      <c r="C187" s="1" t="n">
        <v>46196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39389-2024</t>
        </is>
      </c>
      <c r="B188" s="1" t="n">
        <v>45551</v>
      </c>
      <c r="C188" s="1" t="n">
        <v>46196</v>
      </c>
      <c r="D188" t="inlineStr">
        <is>
          <t>KRONOBERGS LÄN</t>
        </is>
      </c>
      <c r="E188" t="inlineStr">
        <is>
          <t>LESSEBO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17552-2023</t>
        </is>
      </c>
      <c r="B189" s="1" t="n">
        <v>45036</v>
      </c>
      <c r="C189" s="1" t="n">
        <v>46196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40912-2023</t>
        </is>
      </c>
      <c r="B190" s="1" t="n">
        <v>45173</v>
      </c>
      <c r="C190" s="1" t="n">
        <v>46196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18968-2024</t>
        </is>
      </c>
      <c r="B191" s="1" t="n">
        <v>45427</v>
      </c>
      <c r="C191" s="1" t="n">
        <v>46196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53341-2021</t>
        </is>
      </c>
      <c r="B192" s="1" t="n">
        <v>44468</v>
      </c>
      <c r="C192" s="1" t="n">
        <v>46196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59321-2024</t>
        </is>
      </c>
      <c r="B193" s="1" t="n">
        <v>45637</v>
      </c>
      <c r="C193" s="1" t="n">
        <v>46196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17203-2025</t>
        </is>
      </c>
      <c r="B194" s="1" t="n">
        <v>45756</v>
      </c>
      <c r="C194" s="1" t="n">
        <v>46196</v>
      </c>
      <c r="D194" t="inlineStr">
        <is>
          <t>KRONOBERGS LÄN</t>
        </is>
      </c>
      <c r="E194" t="inlineStr">
        <is>
          <t>LESSEBO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48639-2023</t>
        </is>
      </c>
      <c r="B195" s="1" t="n">
        <v>45202</v>
      </c>
      <c r="C195" s="1" t="n">
        <v>46196</v>
      </c>
      <c r="D195" t="inlineStr">
        <is>
          <t>KRONOBERGS LÄN</t>
        </is>
      </c>
      <c r="E195" t="inlineStr">
        <is>
          <t>LESSEBO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37933-2021</t>
        </is>
      </c>
      <c r="B196" s="1" t="n">
        <v>44403</v>
      </c>
      <c r="C196" s="1" t="n">
        <v>46196</v>
      </c>
      <c r="D196" t="inlineStr">
        <is>
          <t>KRONOBERGS LÄN</t>
        </is>
      </c>
      <c r="E196" t="inlineStr">
        <is>
          <t>LESSEBO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20431-2025</t>
        </is>
      </c>
      <c r="B197" s="1" t="n">
        <v>45775</v>
      </c>
      <c r="C197" s="1" t="n">
        <v>46196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27574-2023</t>
        </is>
      </c>
      <c r="B198" s="1" t="n">
        <v>45097</v>
      </c>
      <c r="C198" s="1" t="n">
        <v>46196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4839-2023</t>
        </is>
      </c>
      <c r="B199" s="1" t="n">
        <v>44955</v>
      </c>
      <c r="C199" s="1" t="n">
        <v>46196</v>
      </c>
      <c r="D199" t="inlineStr">
        <is>
          <t>KRONOBERGS LÄN</t>
        </is>
      </c>
      <c r="E199" t="inlineStr">
        <is>
          <t>LESSEBO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</v>
      </c>
      <c r="C200" s="1" t="n">
        <v>46196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30600-2024</t>
        </is>
      </c>
      <c r="B201" s="1" t="n">
        <v>45493</v>
      </c>
      <c r="C201" s="1" t="n">
        <v>46196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24171-2024</t>
        </is>
      </c>
      <c r="B202" s="1" t="n">
        <v>45456</v>
      </c>
      <c r="C202" s="1" t="n">
        <v>46196</v>
      </c>
      <c r="D202" t="inlineStr">
        <is>
          <t>KRONOBERGS LÄN</t>
        </is>
      </c>
      <c r="E202" t="inlineStr">
        <is>
          <t>LESSEBO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64865-2023</t>
        </is>
      </c>
      <c r="B203" s="1" t="n">
        <v>45282</v>
      </c>
      <c r="C203" s="1" t="n">
        <v>46196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41900-2022</t>
        </is>
      </c>
      <c r="B204" s="1" t="n">
        <v>44830</v>
      </c>
      <c r="C204" s="1" t="n">
        <v>46196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38227-2023</t>
        </is>
      </c>
      <c r="B205" s="1" t="n">
        <v>45161</v>
      </c>
      <c r="C205" s="1" t="n">
        <v>46196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46196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46196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</v>
      </c>
      <c r="C208" s="1" t="n">
        <v>46196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27405-2024</t>
        </is>
      </c>
      <c r="B209" s="1" t="n">
        <v>45474</v>
      </c>
      <c r="C209" s="1" t="n">
        <v>46196</v>
      </c>
      <c r="D209" t="inlineStr">
        <is>
          <t>KRONOBERGS LÄN</t>
        </is>
      </c>
      <c r="E209" t="inlineStr">
        <is>
          <t>LESSEBO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59173-2023</t>
        </is>
      </c>
      <c r="B210" s="1" t="n">
        <v>45253</v>
      </c>
      <c r="C210" s="1" t="n">
        <v>46196</v>
      </c>
      <c r="D210" t="inlineStr">
        <is>
          <t>KRONOBERGS LÄN</t>
        </is>
      </c>
      <c r="E210" t="inlineStr">
        <is>
          <t>LESSEBO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3714-2022</t>
        </is>
      </c>
      <c r="B211" s="1" t="n">
        <v>44586</v>
      </c>
      <c r="C211" s="1" t="n">
        <v>46196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18207-2025</t>
        </is>
      </c>
      <c r="B212" s="1" t="n">
        <v>45761</v>
      </c>
      <c r="C212" s="1" t="n">
        <v>46196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18211-2025</t>
        </is>
      </c>
      <c r="B213" s="1" t="n">
        <v>45761</v>
      </c>
      <c r="C213" s="1" t="n">
        <v>46196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642-2024</t>
        </is>
      </c>
      <c r="B214" s="1" t="n">
        <v>45299</v>
      </c>
      <c r="C214" s="1" t="n">
        <v>46196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33076-2023</t>
        </is>
      </c>
      <c r="B215" s="1" t="n">
        <v>45126</v>
      </c>
      <c r="C215" s="1" t="n">
        <v>46196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47386-2024</t>
        </is>
      </c>
      <c r="B216" s="1" t="n">
        <v>45587</v>
      </c>
      <c r="C216" s="1" t="n">
        <v>46196</v>
      </c>
      <c r="D216" t="inlineStr">
        <is>
          <t>KRONOBERGS LÄN</t>
        </is>
      </c>
      <c r="E216" t="inlineStr">
        <is>
          <t>LESSEBO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63927-2021</t>
        </is>
      </c>
      <c r="B217" s="1" t="n">
        <v>44509</v>
      </c>
      <c r="C217" s="1" t="n">
        <v>46196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</v>
      </c>
      <c r="C218" s="1" t="n">
        <v>46196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11843-2024</t>
        </is>
      </c>
      <c r="B219" s="1" t="n">
        <v>45376</v>
      </c>
      <c r="C219" s="1" t="n">
        <v>46196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14940-2024</t>
        </is>
      </c>
      <c r="B220" s="1" t="n">
        <v>45398</v>
      </c>
      <c r="C220" s="1" t="n">
        <v>46196</v>
      </c>
      <c r="D220" t="inlineStr">
        <is>
          <t>KRONOBERGS LÄN</t>
        </is>
      </c>
      <c r="E220" t="inlineStr">
        <is>
          <t>LESSEBO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4413-2022</t>
        </is>
      </c>
      <c r="B221" s="1" t="n">
        <v>44589</v>
      </c>
      <c r="C221" s="1" t="n">
        <v>46196</v>
      </c>
      <c r="D221" t="inlineStr">
        <is>
          <t>KRONOBERGS LÄN</t>
        </is>
      </c>
      <c r="E221" t="inlineStr">
        <is>
          <t>LESSEBO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61598-2022</t>
        </is>
      </c>
      <c r="B222" s="1" t="n">
        <v>44916</v>
      </c>
      <c r="C222" s="1" t="n">
        <v>46196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16886-2025</t>
        </is>
      </c>
      <c r="B223" s="1" t="n">
        <v>45755</v>
      </c>
      <c r="C223" s="1" t="n">
        <v>46196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</v>
      </c>
      <c r="C224" s="1" t="n">
        <v>46196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34386-2023</t>
        </is>
      </c>
      <c r="B225" s="1" t="n">
        <v>45139</v>
      </c>
      <c r="C225" s="1" t="n">
        <v>46196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46196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15864-2022</t>
        </is>
      </c>
      <c r="B227" s="1" t="n">
        <v>44664</v>
      </c>
      <c r="C227" s="1" t="n">
        <v>46196</v>
      </c>
      <c r="D227" t="inlineStr">
        <is>
          <t>KRONOBERGS LÄN</t>
        </is>
      </c>
      <c r="E227" t="inlineStr">
        <is>
          <t>LESSEBO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20480-2025</t>
        </is>
      </c>
      <c r="B228" s="1" t="n">
        <v>45775</v>
      </c>
      <c r="C228" s="1" t="n">
        <v>46196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38712-2022</t>
        </is>
      </c>
      <c r="B229" s="1" t="n">
        <v>44814</v>
      </c>
      <c r="C229" s="1" t="n">
        <v>46196</v>
      </c>
      <c r="D229" t="inlineStr">
        <is>
          <t>KRONOBERGS LÄN</t>
        </is>
      </c>
      <c r="E229" t="inlineStr">
        <is>
          <t>LESSEBO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22432-2023</t>
        </is>
      </c>
      <c r="B230" s="1" t="n">
        <v>45070</v>
      </c>
      <c r="C230" s="1" t="n">
        <v>46196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56529-2022</t>
        </is>
      </c>
      <c r="B231" s="1" t="n">
        <v>44893</v>
      </c>
      <c r="C231" s="1" t="n">
        <v>46196</v>
      </c>
      <c r="D231" t="inlineStr">
        <is>
          <t>KRONOBERGS LÄN</t>
        </is>
      </c>
      <c r="E231" t="inlineStr">
        <is>
          <t>LESSEBO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43114-2024</t>
        </is>
      </c>
      <c r="B232" s="1" t="n">
        <v>45567</v>
      </c>
      <c r="C232" s="1" t="n">
        <v>46196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21745-2022</t>
        </is>
      </c>
      <c r="B233" s="1" t="n">
        <v>44708</v>
      </c>
      <c r="C233" s="1" t="n">
        <v>46196</v>
      </c>
      <c r="D233" t="inlineStr">
        <is>
          <t>KRONOBERGS LÄN</t>
        </is>
      </c>
      <c r="E233" t="inlineStr">
        <is>
          <t>LESSEBO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37399-2024</t>
        </is>
      </c>
      <c r="B234" s="1" t="n">
        <v>45540</v>
      </c>
      <c r="C234" s="1" t="n">
        <v>46196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27080-2022</t>
        </is>
      </c>
      <c r="B235" s="1" t="n">
        <v>44741</v>
      </c>
      <c r="C235" s="1" t="n">
        <v>46196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43206-2024</t>
        </is>
      </c>
      <c r="B236" s="1" t="n">
        <v>45567</v>
      </c>
      <c r="C236" s="1" t="n">
        <v>46196</v>
      </c>
      <c r="D236" t="inlineStr">
        <is>
          <t>KRONOBERGS LÄN</t>
        </is>
      </c>
      <c r="E236" t="inlineStr">
        <is>
          <t>LESSEBO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</v>
      </c>
      <c r="C237" s="1" t="n">
        <v>46196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20223-2025</t>
        </is>
      </c>
      <c r="B238" s="1" t="n">
        <v>45772</v>
      </c>
      <c r="C238" s="1" t="n">
        <v>46196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20435-2025</t>
        </is>
      </c>
      <c r="B239" s="1" t="n">
        <v>45775</v>
      </c>
      <c r="C239" s="1" t="n">
        <v>46196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20441-2025</t>
        </is>
      </c>
      <c r="B240" s="1" t="n">
        <v>45775</v>
      </c>
      <c r="C240" s="1" t="n">
        <v>46196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13036-2022</t>
        </is>
      </c>
      <c r="B241" s="1" t="n">
        <v>44643</v>
      </c>
      <c r="C241" s="1" t="n">
        <v>46196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52031-2023</t>
        </is>
      </c>
      <c r="B242" s="1" t="n">
        <v>45223</v>
      </c>
      <c r="C242" s="1" t="n">
        <v>46196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70349-2021</t>
        </is>
      </c>
      <c r="B243" s="1" t="n">
        <v>44536</v>
      </c>
      <c r="C243" s="1" t="n">
        <v>46196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70350-2021</t>
        </is>
      </c>
      <c r="B244" s="1" t="n">
        <v>44536</v>
      </c>
      <c r="C244" s="1" t="n">
        <v>46196</v>
      </c>
      <c r="D244" t="inlineStr">
        <is>
          <t>KRONOBERGS LÄN</t>
        </is>
      </c>
      <c r="E244" t="inlineStr">
        <is>
          <t>LESSEBO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2755-2025</t>
        </is>
      </c>
      <c r="B245" s="1" t="n">
        <v>45677</v>
      </c>
      <c r="C245" s="1" t="n">
        <v>46196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61575-2022</t>
        </is>
      </c>
      <c r="B246" s="1" t="n">
        <v>44916</v>
      </c>
      <c r="C246" s="1" t="n">
        <v>46196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61588-2022</t>
        </is>
      </c>
      <c r="B247" s="1" t="n">
        <v>44916</v>
      </c>
      <c r="C247" s="1" t="n">
        <v>46196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17350-2023</t>
        </is>
      </c>
      <c r="B248" s="1" t="n">
        <v>45035</v>
      </c>
      <c r="C248" s="1" t="n">
        <v>46196</v>
      </c>
      <c r="D248" t="inlineStr">
        <is>
          <t>KRONOBERGS LÄN</t>
        </is>
      </c>
      <c r="E248" t="inlineStr">
        <is>
          <t>LESSEBO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20852-2025</t>
        </is>
      </c>
      <c r="B249" s="1" t="n">
        <v>45777</v>
      </c>
      <c r="C249" s="1" t="n">
        <v>46196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20681-2025</t>
        </is>
      </c>
      <c r="B250" s="1" t="n">
        <v>45776</v>
      </c>
      <c r="C250" s="1" t="n">
        <v>46196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51990-2024</t>
        </is>
      </c>
      <c r="B251" s="1" t="n">
        <v>45607</v>
      </c>
      <c r="C251" s="1" t="n">
        <v>46196</v>
      </c>
      <c r="D251" t="inlineStr">
        <is>
          <t>KRONOBERGS LÄN</t>
        </is>
      </c>
      <c r="E251" t="inlineStr">
        <is>
          <t>LESSEBO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41598-2024</t>
        </is>
      </c>
      <c r="B252" s="1" t="n">
        <v>45560</v>
      </c>
      <c r="C252" s="1" t="n">
        <v>46196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61439-2024</t>
        </is>
      </c>
      <c r="B253" s="1" t="n">
        <v>45646</v>
      </c>
      <c r="C253" s="1" t="n">
        <v>46196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2026-06-23T04:31:34Z</dcterms:created>
  <dcterms:modified xmlns:dcterms="http://purl.org/dc/terms/" xmlns:xsi="http://www.w3.org/2001/XMLSchema-instance" xsi:type="dcterms:W3CDTF">2026-06-23T04:31:34Z</dcterms:modified>
</cp:coreProperties>
</file>