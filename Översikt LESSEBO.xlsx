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46230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46230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46230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46230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46230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HYPERLINK("https://klasma.github.io/Logging_0761/artfynd/A 37936-2021 artfynd.xlsx", "A 37936-2021")</f>
        <v/>
      </c>
      <c r="X15">
        <f>HYPERLINK("https://klasma.github.io/Logging_0761/kartor/A 37936-2021 karta.png", "A 37936-2021")</f>
        <v/>
      </c>
      <c r="Y15">
        <f>HYPERLINK("https://klasma.github.io/Logging_0761/kartor_geotiff/A 37936-2021 georefererad karta.tif", "A 37936-2021")</f>
        <v/>
      </c>
      <c r="Z15">
        <f>HYPERLINK("https://klasma.github.io/Logging_0761/knärot/A 37936-2021 karta knärot.png", "A 37936-2021")</f>
        <v/>
      </c>
      <c r="AA15">
        <f>HYPERLINK("https://klasma.github.io/Logging_0761/klagomål/A 37936-2021 FSC-klagomål.docx", "A 37936-2021")</f>
        <v/>
      </c>
      <c r="AB15">
        <f>HYPERLINK("https://klasma.github.io/Logging_0761/klagomålsmail/A 37936-2021 FSC-klagomål mail.docx", "A 37936-2021")</f>
        <v/>
      </c>
      <c r="AC15">
        <f>HYPERLINK("https://klasma.github.io/Logging_0761/tillsyn/A 37936-2021 tillsynsbegäran.docx", "A 37936-2021")</f>
        <v/>
      </c>
      <c r="AD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46230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46230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HYPERLINK("https://klasma.github.io/Logging_0761/artfynd/S 2864-2025 artfynd.xlsx", "S 2864-2025")</f>
        <v/>
      </c>
      <c r="X17">
        <f>HYPERLINK("https://klasma.github.io/Logging_0761/kartor/S 2864-2025 karta.png", "S 2864-2025")</f>
        <v/>
      </c>
      <c r="Y17">
        <f>HYPERLINK("https://klasma.github.io/Logging_0761/kartor_geotiff/S 2864-2025 georefererad karta.tif", "S 2864-2025")</f>
        <v/>
      </c>
      <c r="AA17">
        <f>HYPERLINK("https://klasma.github.io/Logging_0761/klagomål/S 2864-2025 FSC-klagomål.docx", "S 2864-2025")</f>
        <v/>
      </c>
      <c r="AB17">
        <f>HYPERLINK("https://klasma.github.io/Logging_0761/klagomålsmail/S 2864-2025 FSC-klagomål mail.docx", "S 2864-2025")</f>
        <v/>
      </c>
      <c r="AC17">
        <f>HYPERLINK("https://klasma.github.io/Logging_0761/tillsyn/S 2864-2025 tillsynsbegäran.docx", "S 2864-2025")</f>
        <v/>
      </c>
      <c r="AD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46230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Korallrot</t>
        </is>
      </c>
      <c r="W18">
        <f>HYPERLINK("https://klasma.github.io/Logging_0761/artfynd/S 1978-2026 artfynd.xlsx", "S 1978-2026")</f>
        <v/>
      </c>
      <c r="X18">
        <f>HYPERLINK("https://klasma.github.io/Logging_0761/kartor/S 1978-2026 karta.png", "S 1978-2026")</f>
        <v/>
      </c>
      <c r="Y18">
        <f>HYPERLINK("https://klasma.github.io/Logging_0761/kartor_geotiff/S 1978-2026 georefererad karta.tif", "S 1978-2026")</f>
        <v/>
      </c>
      <c r="Z18">
        <f>HYPERLINK("https://klasma.github.io/Logging_0761/knärot/S 1978-2026 karta knärot.png", "S 1978-2026")</f>
        <v/>
      </c>
      <c r="AA18">
        <f>HYPERLINK("https://klasma.github.io/Logging_0761/klagomål/S 1978-2026 FSC-klagomål.docx", "S 1978-2026")</f>
        <v/>
      </c>
      <c r="AB18">
        <f>HYPERLINK("https://klasma.github.io/Logging_0761/klagomålsmail/S 1978-2026 FSC-klagomål mail.docx", "S 1978-2026")</f>
        <v/>
      </c>
      <c r="AC18">
        <f>HYPERLINK("https://klasma.github.io/Logging_0761/tillsyn/S 1978-2026 tillsynsbegäran.docx", "S 1978-2026")</f>
        <v/>
      </c>
      <c r="AD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46230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46230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46230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46230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46230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46230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46230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46230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46230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46230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46230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46230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46230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46230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46230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46230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46230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46230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41619-2021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44425</v>
      </c>
      <c r="E37" s="1" t="n">
        <v>46230</v>
      </c>
      <c r="F37" t="inlineStr">
        <is>
          <t>KRONOBERGS LÄN</t>
        </is>
      </c>
      <c r="G37" t="inlineStr">
        <is>
          <t>LESSEBO</t>
        </is>
      </c>
      <c r="H37" t="inlineStr">
        <is>
          <t>Sveaskog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46230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46230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46230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46230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46230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46230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46230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46230</v>
      </c>
      <c r="F45" t="inlineStr">
        <is>
          <t>KRONOBERGS LÄN</t>
        </is>
      </c>
      <c r="G45" t="inlineStr">
        <is>
          <t>LESSEBO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46230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46230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46230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44936</v>
      </c>
      <c r="E49" s="1" t="n">
        <v>46230</v>
      </c>
      <c r="F49" t="inlineStr">
        <is>
          <t>KRONOBERGS LÄN</t>
        </is>
      </c>
      <c r="G49" t="inlineStr">
        <is>
          <t>LESSEBO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45459</v>
      </c>
      <c r="E50" s="1" t="n">
        <v>46230</v>
      </c>
      <c r="F50" t="inlineStr">
        <is>
          <t>KRONOBERGS LÄN</t>
        </is>
      </c>
      <c r="G50" t="inlineStr">
        <is>
          <t>LESSEBO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46230</v>
      </c>
      <c r="F51" t="inlineStr">
        <is>
          <t>KRONOBERGS LÄN</t>
        </is>
      </c>
      <c r="G51" t="inlineStr">
        <is>
          <t>LESSEBO</t>
        </is>
      </c>
      <c r="I51" t="n">
        <v>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46230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46230</v>
      </c>
      <c r="F53" t="inlineStr">
        <is>
          <t>KRONOBERGS LÄN</t>
        </is>
      </c>
      <c r="G53" t="inlineStr">
        <is>
          <t>LESSEBO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45710</v>
      </c>
      <c r="E54" s="1" t="n">
        <v>46230</v>
      </c>
      <c r="F54" t="inlineStr">
        <is>
          <t>KRONOBERGS LÄN</t>
        </is>
      </c>
      <c r="G54" t="inlineStr">
        <is>
          <t>LESSEBO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45568</v>
      </c>
      <c r="E55" s="1" t="n">
        <v>46230</v>
      </c>
      <c r="F55" t="inlineStr">
        <is>
          <t>KRONOBERGS LÄN</t>
        </is>
      </c>
      <c r="G55" t="inlineStr">
        <is>
          <t>LESSEBO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45017</v>
      </c>
      <c r="E56" s="1" t="n">
        <v>46230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15204-2023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45017</v>
      </c>
      <c r="E57" s="1" t="n">
        <v>46230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45665</v>
      </c>
      <c r="E58" s="1" t="n">
        <v>46230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46230</v>
      </c>
      <c r="F59" t="inlineStr">
        <is>
          <t>KRONOBERGS LÄN</t>
        </is>
      </c>
      <c r="G59" t="inlineStr">
        <is>
          <t>LESSEBO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46230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45037</v>
      </c>
      <c r="E61" s="1" t="n">
        <v>46230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44767</v>
      </c>
      <c r="E62" s="1" t="n">
        <v>46230</v>
      </c>
      <c r="F62" t="inlineStr">
        <is>
          <t>KRONOBERGS LÄN</t>
        </is>
      </c>
      <c r="G62" t="inlineStr">
        <is>
          <t>LESSEBO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19501-2022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46230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46230</v>
      </c>
      <c r="F64" t="inlineStr">
        <is>
          <t>KRONOBERGS LÄN</t>
        </is>
      </c>
      <c r="G64" t="inlineStr">
        <is>
          <t>LESSEBO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46230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46230</v>
      </c>
      <c r="F66" t="inlineStr">
        <is>
          <t>KRONOBERGS LÄN</t>
        </is>
      </c>
      <c r="G66" t="inlineStr">
        <is>
          <t>LESSEBO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46230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46230</v>
      </c>
      <c r="F68" t="inlineStr">
        <is>
          <t>KRONOBERGS LÄN</t>
        </is>
      </c>
      <c r="G68" t="inlineStr">
        <is>
          <t>LESSEBO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46230</v>
      </c>
      <c r="F69" t="inlineStr">
        <is>
          <t>KRONOBERGS LÄN</t>
        </is>
      </c>
      <c r="G69" t="inlineStr">
        <is>
          <t>LESSEBO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46230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17517-2023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45036</v>
      </c>
      <c r="E71" s="1" t="n">
        <v>46230</v>
      </c>
      <c r="F71" t="inlineStr">
        <is>
          <t>KRONOBERGS LÄN</t>
        </is>
      </c>
      <c r="G71" t="inlineStr">
        <is>
          <t>LESSEBO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64635-2023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46230</v>
      </c>
      <c r="F72" t="inlineStr">
        <is>
          <t>KRONOBERGS LÄN</t>
        </is>
      </c>
      <c r="G72" t="inlineStr">
        <is>
          <t>LESSEBO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46230</v>
      </c>
      <c r="F73" t="inlineStr">
        <is>
          <t>KRONOBERGS LÄN</t>
        </is>
      </c>
      <c r="G73" t="inlineStr">
        <is>
          <t>LESSEBO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73140-2021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46230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46230</v>
      </c>
      <c r="F75" t="inlineStr">
        <is>
          <t>KRONOBERGS LÄN</t>
        </is>
      </c>
      <c r="G75" t="inlineStr">
        <is>
          <t>LESSEBO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46230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46230</v>
      </c>
      <c r="F77" t="inlineStr">
        <is>
          <t>KRONOBERGS LÄN</t>
        </is>
      </c>
      <c r="G77" t="inlineStr">
        <is>
          <t>LESSEBO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45364</v>
      </c>
      <c r="E78" s="1" t="n">
        <v>46230</v>
      </c>
      <c r="F78" t="inlineStr">
        <is>
          <t>KRONOBERGS LÄN</t>
        </is>
      </c>
      <c r="G78" t="inlineStr">
        <is>
          <t>LESSEBO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51191-2023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46230</v>
      </c>
      <c r="F79" t="inlineStr">
        <is>
          <t>KRONOBERGS LÄN</t>
        </is>
      </c>
      <c r="G79" t="inlineStr">
        <is>
          <t>LESSEBO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45874</v>
      </c>
      <c r="E80" s="1" t="n">
        <v>46230</v>
      </c>
      <c r="F80" t="inlineStr">
        <is>
          <t>KRONOBERGS LÄN</t>
        </is>
      </c>
      <c r="G80" t="inlineStr">
        <is>
          <t>LESSEBO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46230</v>
      </c>
      <c r="F81" t="inlineStr">
        <is>
          <t>KRONOBERGS LÄN</t>
        </is>
      </c>
      <c r="G81" t="inlineStr">
        <is>
          <t>LESSEBO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45625</v>
      </c>
      <c r="E82" s="1" t="n">
        <v>46230</v>
      </c>
      <c r="F82" t="inlineStr">
        <is>
          <t>KRONOBERGS LÄN</t>
        </is>
      </c>
      <c r="G82" t="inlineStr">
        <is>
          <t>LESSEBO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46230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46230</v>
      </c>
      <c r="F84" t="inlineStr">
        <is>
          <t>KRONOBERGS LÄN</t>
        </is>
      </c>
      <c r="G84" t="inlineStr">
        <is>
          <t>LESSEBO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45891</v>
      </c>
      <c r="E85" s="1" t="n">
        <v>46230</v>
      </c>
      <c r="F85" t="inlineStr">
        <is>
          <t>KRONOBERGS LÄN</t>
        </is>
      </c>
      <c r="G85" t="inlineStr">
        <is>
          <t>LESSEBO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8174-2025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45708</v>
      </c>
      <c r="E86" s="1" t="n">
        <v>46230</v>
      </c>
      <c r="F86" t="inlineStr">
        <is>
          <t>KRONOBERGS LÄN</t>
        </is>
      </c>
      <c r="G86" t="inlineStr">
        <is>
          <t>LESSEBO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46230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45625</v>
      </c>
      <c r="E88" s="1" t="n">
        <v>46230</v>
      </c>
      <c r="F88" t="inlineStr">
        <is>
          <t>KRONOBERGS LÄN</t>
        </is>
      </c>
      <c r="G88" t="inlineStr">
        <is>
          <t>LESSEBO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45670</v>
      </c>
      <c r="E89" s="1" t="n">
        <v>46230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46230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45784</v>
      </c>
      <c r="E91" s="1" t="n">
        <v>46230</v>
      </c>
      <c r="F91" t="inlineStr">
        <is>
          <t>KRONOBERGS LÄN</t>
        </is>
      </c>
      <c r="G91" t="inlineStr">
        <is>
          <t>LESSEBO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45233</v>
      </c>
      <c r="E92" s="1" t="n">
        <v>46230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46230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44978</v>
      </c>
      <c r="E94" s="1" t="n">
        <v>46230</v>
      </c>
      <c r="F94" t="inlineStr">
        <is>
          <t>KRONOBERGS LÄN</t>
        </is>
      </c>
      <c r="G94" t="inlineStr">
        <is>
          <t>LESSEBO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46230</v>
      </c>
      <c r="F95" t="inlineStr">
        <is>
          <t>KRONOBERGS LÄN</t>
        </is>
      </c>
      <c r="G95" t="inlineStr">
        <is>
          <t>LESSEBO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45671</v>
      </c>
      <c r="E96" s="1" t="n">
        <v>46230</v>
      </c>
      <c r="F96" t="inlineStr">
        <is>
          <t>KRONOBERGS LÄN</t>
        </is>
      </c>
      <c r="G96" t="inlineStr">
        <is>
          <t>LESSEBO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45777</v>
      </c>
      <c r="E97" s="1" t="n">
        <v>46230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57519-2022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46230</v>
      </c>
      <c r="F98" t="inlineStr">
        <is>
          <t>KRONOBERGS LÄN</t>
        </is>
      </c>
      <c r="G98" t="inlineStr">
        <is>
          <t>LESSEBO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46230</v>
      </c>
      <c r="F99" t="inlineStr">
        <is>
          <t>KRONOBERGS LÄN</t>
        </is>
      </c>
      <c r="G99" t="inlineStr">
        <is>
          <t>LESSEBO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46230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46230</v>
      </c>
      <c r="F101" t="inlineStr">
        <is>
          <t>KRONOBERGS LÄN</t>
        </is>
      </c>
      <c r="G101" t="inlineStr">
        <is>
          <t>LESSEBO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65137-2023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45288</v>
      </c>
      <c r="E102" s="1" t="n">
        <v>46230</v>
      </c>
      <c r="F102" t="inlineStr">
        <is>
          <t>KRONOBERGS LÄN</t>
        </is>
      </c>
      <c r="G102" t="inlineStr">
        <is>
          <t>LESSEBO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46230</v>
      </c>
      <c r="F103" t="inlineStr">
        <is>
          <t>KRONOBERGS LÄN</t>
        </is>
      </c>
      <c r="G103" t="inlineStr">
        <is>
          <t>LESSEBO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45058</v>
      </c>
      <c r="E104" s="1" t="n">
        <v>46230</v>
      </c>
      <c r="F104" t="inlineStr">
        <is>
          <t>KRONOBERGS LÄN</t>
        </is>
      </c>
      <c r="G104" t="inlineStr">
        <is>
          <t>LESSEBO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46230</v>
      </c>
      <c r="F105" t="inlineStr">
        <is>
          <t>KRONOBERGS LÄN</t>
        </is>
      </c>
      <c r="G105" t="inlineStr">
        <is>
          <t>LESSEBO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46230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44741</v>
      </c>
      <c r="E107" s="1" t="n">
        <v>46230</v>
      </c>
      <c r="F107" t="inlineStr">
        <is>
          <t>KRONOBERGS LÄN</t>
        </is>
      </c>
      <c r="G107" t="inlineStr">
        <is>
          <t>LESSEBO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46230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48429-2025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46230</v>
      </c>
      <c r="F109" t="inlineStr">
        <is>
          <t>KRONOBERGS LÄN</t>
        </is>
      </c>
      <c r="G109" t="inlineStr">
        <is>
          <t>LESSEBO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46230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47396-2024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46230</v>
      </c>
      <c r="F111" t="inlineStr">
        <is>
          <t>KRONOBERGS LÄN</t>
        </is>
      </c>
      <c r="G111" t="inlineStr">
        <is>
          <t>LESSEBO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46230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46230</v>
      </c>
      <c r="F113" t="inlineStr">
        <is>
          <t>KRONOBERGS LÄN</t>
        </is>
      </c>
      <c r="G113" t="inlineStr">
        <is>
          <t>LESSEBO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46230</v>
      </c>
      <c r="F114" t="inlineStr">
        <is>
          <t>KRONOBERGS LÄN</t>
        </is>
      </c>
      <c r="G114" t="inlineStr">
        <is>
          <t>LESSEBO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45775</v>
      </c>
      <c r="E115" s="1" t="n">
        <v>46230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46230</v>
      </c>
      <c r="F116" t="inlineStr">
        <is>
          <t>KRONOBERGS LÄN</t>
        </is>
      </c>
      <c r="G116" t="inlineStr">
        <is>
          <t>LESSEBO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61995-2022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46230</v>
      </c>
      <c r="F117" t="inlineStr">
        <is>
          <t>KRONOBERGS LÄN</t>
        </is>
      </c>
      <c r="G117" t="inlineStr">
        <is>
          <t>LESSEBO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46230</v>
      </c>
      <c r="F118" t="inlineStr">
        <is>
          <t>KRONOBERGS LÄN</t>
        </is>
      </c>
      <c r="G118" t="inlineStr">
        <is>
          <t>LESSEBO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46230</v>
      </c>
      <c r="F119" t="inlineStr">
        <is>
          <t>KRONOBERGS LÄN</t>
        </is>
      </c>
      <c r="G119" t="inlineStr">
        <is>
          <t>LESSEBO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46230</v>
      </c>
      <c r="F120" t="inlineStr">
        <is>
          <t>KRONOBERGS LÄN</t>
        </is>
      </c>
      <c r="G120" t="inlineStr">
        <is>
          <t>LESSEBO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46230</v>
      </c>
      <c r="F121" t="inlineStr">
        <is>
          <t>KRONOBERGS LÄN</t>
        </is>
      </c>
      <c r="G121" t="inlineStr">
        <is>
          <t>LESSEBO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21311-2026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46147</v>
      </c>
      <c r="E122" s="1" t="n">
        <v>46230</v>
      </c>
      <c r="F122" t="inlineStr">
        <is>
          <t>KRONOBERGS LÄN</t>
        </is>
      </c>
      <c r="G122" t="inlineStr">
        <is>
          <t>LESSEBO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45954</v>
      </c>
      <c r="E123" s="1" t="n">
        <v>46230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46230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46230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46230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46230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46230</v>
      </c>
      <c r="F128" t="inlineStr">
        <is>
          <t>KRONOBERGS LÄN</t>
        </is>
      </c>
      <c r="G128" t="inlineStr">
        <is>
          <t>LESSEBO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46230</v>
      </c>
      <c r="F129" t="inlineStr">
        <is>
          <t>KRONOBERGS LÄN</t>
        </is>
      </c>
      <c r="G129" t="inlineStr">
        <is>
          <t>LESSEBO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46230</v>
      </c>
      <c r="F130" t="inlineStr">
        <is>
          <t>KRONOBERGS LÄN</t>
        </is>
      </c>
      <c r="G130" t="inlineStr">
        <is>
          <t>LESSEBO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46230</v>
      </c>
      <c r="F131" t="inlineStr">
        <is>
          <t>KRONOBERGS LÄN</t>
        </is>
      </c>
      <c r="G131" t="inlineStr">
        <is>
          <t>LESSEBO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46230</v>
      </c>
      <c r="F132" t="inlineStr">
        <is>
          <t>KRONOBERGS LÄN</t>
        </is>
      </c>
      <c r="G132" t="inlineStr">
        <is>
          <t>LESSEBO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46230</v>
      </c>
      <c r="F133" t="inlineStr">
        <is>
          <t>KRONOBERGS LÄN</t>
        </is>
      </c>
      <c r="G133" t="inlineStr">
        <is>
          <t>LESSEBO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46230</v>
      </c>
      <c r="F134" t="inlineStr">
        <is>
          <t>KRONOBERGS LÄN</t>
        </is>
      </c>
      <c r="G134" t="inlineStr">
        <is>
          <t>LESSEBO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46191</v>
      </c>
      <c r="E135" s="1" t="n">
        <v>46230</v>
      </c>
      <c r="F135" t="inlineStr">
        <is>
          <t>KRONOBERGS LÄN</t>
        </is>
      </c>
      <c r="G135" t="inlineStr">
        <is>
          <t>LESSEBO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46230</v>
      </c>
      <c r="F136" t="inlineStr">
        <is>
          <t>KRONOBERGS LÄN</t>
        </is>
      </c>
      <c r="G136" t="inlineStr">
        <is>
          <t>LESSEBO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46230</v>
      </c>
      <c r="F137" t="inlineStr">
        <is>
          <t>KRONOBERGS LÄN</t>
        </is>
      </c>
      <c r="G137" t="inlineStr">
        <is>
          <t>LESSEBO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50162-2023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45215</v>
      </c>
      <c r="E138" s="1" t="n">
        <v>46230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45551</v>
      </c>
      <c r="E139" s="1" t="n">
        <v>46230</v>
      </c>
      <c r="F139" t="inlineStr">
        <is>
          <t>KRONOBERGS LÄN</t>
        </is>
      </c>
      <c r="G139" t="inlineStr">
        <is>
          <t>LESSEBO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45036</v>
      </c>
      <c r="E140" s="1" t="n">
        <v>46230</v>
      </c>
      <c r="F140" t="inlineStr">
        <is>
          <t>KRONOBERGS LÄN</t>
        </is>
      </c>
      <c r="G140" t="inlineStr">
        <is>
          <t>LESSEBO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45173</v>
      </c>
      <c r="E141" s="1" t="n">
        <v>46230</v>
      </c>
      <c r="F141" t="inlineStr">
        <is>
          <t>KRONOBERGS LÄN</t>
        </is>
      </c>
      <c r="G141" t="inlineStr">
        <is>
          <t>LESSEBO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45427</v>
      </c>
      <c r="E142" s="1" t="n">
        <v>46230</v>
      </c>
      <c r="F142" t="inlineStr">
        <is>
          <t>KRONOBERGS LÄN</t>
        </is>
      </c>
      <c r="G142" t="inlineStr">
        <is>
          <t>LESSEBO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44468</v>
      </c>
      <c r="E143" s="1" t="n">
        <v>46230</v>
      </c>
      <c r="F143" t="inlineStr">
        <is>
          <t>KRONOBERGS LÄN</t>
        </is>
      </c>
      <c r="G143" t="inlineStr">
        <is>
          <t>LESSEBO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46230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45756</v>
      </c>
      <c r="E145" s="1" t="n">
        <v>46230</v>
      </c>
      <c r="F145" t="inlineStr">
        <is>
          <t>KRONOBERGS LÄN</t>
        </is>
      </c>
      <c r="G145" t="inlineStr">
        <is>
          <t>LESSEBO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46230</v>
      </c>
      <c r="F146" t="inlineStr">
        <is>
          <t>KRONOBERGS LÄN</t>
        </is>
      </c>
      <c r="G146" t="inlineStr">
        <is>
          <t>LESSEBO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46230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46230</v>
      </c>
      <c r="F148" t="inlineStr">
        <is>
          <t>KRONOBERGS LÄN</t>
        </is>
      </c>
      <c r="G148" t="inlineStr">
        <is>
          <t>LESSEBO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46230</v>
      </c>
      <c r="F149" t="inlineStr">
        <is>
          <t>KRONOBERGS LÄN</t>
        </is>
      </c>
      <c r="G149" t="inlineStr">
        <is>
          <t>LESSEBO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22423-2026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46154</v>
      </c>
      <c r="E150" s="1" t="n">
        <v>46230</v>
      </c>
      <c r="F150" t="inlineStr">
        <is>
          <t>KRONOBERGS LÄN</t>
        </is>
      </c>
      <c r="G150" t="inlineStr">
        <is>
          <t>LESSEBO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46230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37933-2021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44403</v>
      </c>
      <c r="E152" s="1" t="n">
        <v>46230</v>
      </c>
      <c r="F152" t="inlineStr">
        <is>
          <t>KRONOBERGS LÄN</t>
        </is>
      </c>
      <c r="G152" t="inlineStr">
        <is>
          <t>LESSEBO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46230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46230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22758-2026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46230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22766-2026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46230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46230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46230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46230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46230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46230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46230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46230</v>
      </c>
      <c r="F163" t="inlineStr">
        <is>
          <t>KRONOBERGS LÄN</t>
        </is>
      </c>
      <c r="G163" t="inlineStr">
        <is>
          <t>LESSEBO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46230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46230</v>
      </c>
      <c r="F165" t="inlineStr">
        <is>
          <t>KRONOBERGS LÄN</t>
        </is>
      </c>
      <c r="G165" t="inlineStr">
        <is>
          <t>LESSEBO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46230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46230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46230</v>
      </c>
      <c r="F168" t="inlineStr">
        <is>
          <t>KRONOBERGS LÄN</t>
        </is>
      </c>
      <c r="G168" t="inlineStr">
        <is>
          <t>LESSEBO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44955</v>
      </c>
      <c r="E169" s="1" t="n">
        <v>46230</v>
      </c>
      <c r="F169" t="inlineStr">
        <is>
          <t>KRONOBERGS LÄN</t>
        </is>
      </c>
      <c r="G169" t="inlineStr">
        <is>
          <t>LESSEBO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46230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46230</v>
      </c>
      <c r="F171" t="inlineStr">
        <is>
          <t>KRONOBERGS LÄN</t>
        </is>
      </c>
      <c r="G171" t="inlineStr">
        <is>
          <t>LESSEBO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46230</v>
      </c>
      <c r="F172" t="inlineStr">
        <is>
          <t>KRONOBERGS LÄN</t>
        </is>
      </c>
      <c r="G172" t="inlineStr">
        <is>
          <t>LESSEBO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46230</v>
      </c>
      <c r="F173" t="inlineStr">
        <is>
          <t>KRONOBERGS LÄN</t>
        </is>
      </c>
      <c r="G173" t="inlineStr">
        <is>
          <t>LESSEBO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45493</v>
      </c>
      <c r="E174" s="1" t="n">
        <v>46230</v>
      </c>
      <c r="F174" t="inlineStr">
        <is>
          <t>KRONOBERGS LÄN</t>
        </is>
      </c>
      <c r="G174" t="inlineStr">
        <is>
          <t>LESSEBO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46230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45282</v>
      </c>
      <c r="E176" s="1" t="n">
        <v>46230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46230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46230</v>
      </c>
      <c r="F178" t="inlineStr">
        <is>
          <t>KRONOBERGS LÄN</t>
        </is>
      </c>
      <c r="G178" t="inlineStr">
        <is>
          <t>LESSEBO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44798</v>
      </c>
      <c r="E179" s="1" t="n">
        <v>46230</v>
      </c>
      <c r="F179" t="inlineStr">
        <is>
          <t>KRONOBERGS LÄN</t>
        </is>
      </c>
      <c r="G179" t="inlineStr">
        <is>
          <t>LESSEBO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46065</v>
      </c>
      <c r="E180" s="1" t="n">
        <v>46230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46230</v>
      </c>
      <c r="F181" t="inlineStr">
        <is>
          <t>KRONOBERGS LÄN</t>
        </is>
      </c>
      <c r="G181" t="inlineStr">
        <is>
          <t>LESSEBO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46230</v>
      </c>
      <c r="F182" t="inlineStr">
        <is>
          <t>KRONOBERGS LÄN</t>
        </is>
      </c>
      <c r="G182" t="inlineStr">
        <is>
          <t>LESSEBO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46230</v>
      </c>
      <c r="F183" t="inlineStr">
        <is>
          <t>KRONOBERGS LÄN</t>
        </is>
      </c>
      <c r="G183" t="inlineStr">
        <is>
          <t>LESSEBO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46230</v>
      </c>
      <c r="F184" t="inlineStr">
        <is>
          <t>KRONOBERGS LÄN</t>
        </is>
      </c>
      <c r="G184" t="inlineStr">
        <is>
          <t>LESSEBO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46230</v>
      </c>
      <c r="F185" t="inlineStr">
        <is>
          <t>KRONOBERGS LÄN</t>
        </is>
      </c>
      <c r="G185" t="inlineStr">
        <is>
          <t>LESSEBO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46230</v>
      </c>
      <c r="F186" t="inlineStr">
        <is>
          <t>KRONOBERGS LÄN</t>
        </is>
      </c>
      <c r="G186" t="inlineStr">
        <is>
          <t>LESSEBO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24271-2026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46230</v>
      </c>
      <c r="F187" t="inlineStr">
        <is>
          <t>KRONOBERGS LÄN</t>
        </is>
      </c>
      <c r="G187" t="inlineStr">
        <is>
          <t>LESSEBO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46230</v>
      </c>
      <c r="F188" t="inlineStr">
        <is>
          <t>KRONOBERGS LÄN</t>
        </is>
      </c>
      <c r="G188" t="inlineStr">
        <is>
          <t>LESSEBO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46230</v>
      </c>
      <c r="F189" t="inlineStr">
        <is>
          <t>KRONOBERGS LÄN</t>
        </is>
      </c>
      <c r="G189" t="inlineStr">
        <is>
          <t>LESSEBO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46230</v>
      </c>
      <c r="F190" t="inlineStr">
        <is>
          <t>KRONOBERGS LÄN</t>
        </is>
      </c>
      <c r="G190" t="inlineStr">
        <is>
          <t>LESSEBO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46230</v>
      </c>
      <c r="F191" t="inlineStr">
        <is>
          <t>KRONOBERGS LÄN</t>
        </is>
      </c>
      <c r="G191" t="inlineStr">
        <is>
          <t>LESSEBO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44586</v>
      </c>
      <c r="E192" s="1" t="n">
        <v>46230</v>
      </c>
      <c r="F192" t="inlineStr">
        <is>
          <t>KRONOBERGS LÄN</t>
        </is>
      </c>
      <c r="G192" t="inlineStr">
        <is>
          <t>LESSEBO</t>
        </is>
      </c>
      <c r="H192" t="inlineStr">
        <is>
          <t>Kommuner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46230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46230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46230</v>
      </c>
      <c r="F195" t="inlineStr">
        <is>
          <t>KRONOBERGS LÄN</t>
        </is>
      </c>
      <c r="G195" t="inlineStr">
        <is>
          <t>LESSEBO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46205</v>
      </c>
      <c r="E196" s="1" t="n">
        <v>46230</v>
      </c>
      <c r="F196" t="inlineStr">
        <is>
          <t>KRONOBERGS LÄN</t>
        </is>
      </c>
      <c r="G196" t="inlineStr">
        <is>
          <t>LESSEBO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46230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642-2024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45299</v>
      </c>
      <c r="E198" s="1" t="n">
        <v>46230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46230</v>
      </c>
      <c r="F199" t="inlineStr">
        <is>
          <t>KRONOBERGS LÄN</t>
        </is>
      </c>
      <c r="G199" t="inlineStr">
        <is>
          <t>LESSEBO</t>
        </is>
      </c>
      <c r="H199" t="inlineStr">
        <is>
          <t>Kommuner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45126</v>
      </c>
      <c r="E200" s="1" t="n">
        <v>46230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46175</v>
      </c>
      <c r="E201" s="1" t="n">
        <v>46230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46230</v>
      </c>
      <c r="F202" t="inlineStr">
        <is>
          <t>KRONOBERGS LÄN</t>
        </is>
      </c>
      <c r="G202" t="inlineStr">
        <is>
          <t>LESSEBO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63927-2021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46230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44818</v>
      </c>
      <c r="E204" s="1" t="n">
        <v>46230</v>
      </c>
      <c r="F204" t="inlineStr">
        <is>
          <t>KRONOBERGS LÄN</t>
        </is>
      </c>
      <c r="G204" t="inlineStr">
        <is>
          <t>LESSEBO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46230</v>
      </c>
      <c r="F205" t="inlineStr">
        <is>
          <t>KRONOBERGS LÄN</t>
        </is>
      </c>
      <c r="G205" t="inlineStr">
        <is>
          <t>LESSEBO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45376</v>
      </c>
      <c r="E206" s="1" t="n">
        <v>46230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46230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14940-2024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46230</v>
      </c>
      <c r="F208" t="inlineStr">
        <is>
          <t>KRONOBERGS LÄN</t>
        </is>
      </c>
      <c r="G208" t="inlineStr">
        <is>
          <t>LESSEBO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46230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46230</v>
      </c>
      <c r="F210" t="inlineStr">
        <is>
          <t>KRONOBERGS LÄN</t>
        </is>
      </c>
      <c r="G210" t="inlineStr">
        <is>
          <t>LESSEBO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46230</v>
      </c>
      <c r="F211" t="inlineStr">
        <is>
          <t>KRONOBERGS LÄN</t>
        </is>
      </c>
      <c r="G211" t="inlineStr">
        <is>
          <t>LESSEBO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46230</v>
      </c>
      <c r="F212" t="inlineStr">
        <is>
          <t>KRONOBERGS LÄN</t>
        </is>
      </c>
      <c r="G212" t="inlineStr">
        <is>
          <t>LESSEBO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45139</v>
      </c>
      <c r="E213" s="1" t="n">
        <v>46230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46230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46230</v>
      </c>
      <c r="F215" t="inlineStr">
        <is>
          <t>KRONOBERGS LÄN</t>
        </is>
      </c>
      <c r="G215" t="inlineStr">
        <is>
          <t>LESSEBO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46230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38712-2022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44814</v>
      </c>
      <c r="E217" s="1" t="n">
        <v>46230</v>
      </c>
      <c r="F217" t="inlineStr">
        <is>
          <t>KRONOBERGS LÄN</t>
        </is>
      </c>
      <c r="G217" t="inlineStr">
        <is>
          <t>LESSEBO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45070</v>
      </c>
      <c r="E218" s="1" t="n">
        <v>46230</v>
      </c>
      <c r="F218" t="inlineStr">
        <is>
          <t>KRONOBERGS LÄN</t>
        </is>
      </c>
      <c r="G218" t="inlineStr">
        <is>
          <t>LESSEBO</t>
        </is>
      </c>
      <c r="H218" t="inlineStr">
        <is>
          <t>Kommuner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46230</v>
      </c>
      <c r="F219" t="inlineStr">
        <is>
          <t>KRONOBERGS LÄN</t>
        </is>
      </c>
      <c r="G219" t="inlineStr">
        <is>
          <t>LESSEBO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46230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44708</v>
      </c>
      <c r="E221" s="1" t="n">
        <v>46230</v>
      </c>
      <c r="F221" t="inlineStr">
        <is>
          <t>KRONOBERGS LÄN</t>
        </is>
      </c>
      <c r="G221" t="inlineStr">
        <is>
          <t>LESSEBO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46230</v>
      </c>
      <c r="F222" t="inlineStr">
        <is>
          <t>KRONOBERGS LÄN</t>
        </is>
      </c>
      <c r="G222" t="inlineStr">
        <is>
          <t>LESSEBO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46230</v>
      </c>
      <c r="F223" t="inlineStr">
        <is>
          <t>KRONOBERGS LÄN</t>
        </is>
      </c>
      <c r="G223" t="inlineStr">
        <is>
          <t>LESSEBO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46230</v>
      </c>
      <c r="F224" t="inlineStr">
        <is>
          <t>KRONOBERGS LÄN</t>
        </is>
      </c>
      <c r="G224" t="inlineStr">
        <is>
          <t>LESSEBO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46230</v>
      </c>
      <c r="F225" t="inlineStr">
        <is>
          <t>KRONOBERGS LÄN</t>
        </is>
      </c>
      <c r="G225" t="inlineStr">
        <is>
          <t>LESSEBO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46230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44643</v>
      </c>
      <c r="E227" s="1" t="n">
        <v>46230</v>
      </c>
      <c r="F227" t="inlineStr">
        <is>
          <t>KRONOBERGS LÄN</t>
        </is>
      </c>
      <c r="G227" t="inlineStr">
        <is>
          <t>LESSEBO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46230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70349-2021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44536</v>
      </c>
      <c r="E229" s="1" t="n">
        <v>46230</v>
      </c>
      <c r="F229" t="inlineStr">
        <is>
          <t>KRONOBERGS LÄN</t>
        </is>
      </c>
      <c r="G229" t="inlineStr">
        <is>
          <t>LESSEBO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70350-2021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46230</v>
      </c>
      <c r="F230" t="inlineStr">
        <is>
          <t>KRONOBERGS LÄN</t>
        </is>
      </c>
      <c r="G230" t="inlineStr">
        <is>
          <t>LESSEBO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2755-2025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45677</v>
      </c>
      <c r="E231" s="1" t="n">
        <v>46230</v>
      </c>
      <c r="F231" t="inlineStr">
        <is>
          <t>KRONOBERGS LÄN</t>
        </is>
      </c>
      <c r="G231" t="inlineStr">
        <is>
          <t>LESSEBO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44916</v>
      </c>
      <c r="E232" s="1" t="n">
        <v>46230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44916</v>
      </c>
      <c r="E233" s="1" t="n">
        <v>46230</v>
      </c>
      <c r="F233" t="inlineStr">
        <is>
          <t>KRONOBERGS LÄN</t>
        </is>
      </c>
      <c r="G233" t="inlineStr">
        <is>
          <t>LESSEBO</t>
        </is>
      </c>
      <c r="H233" t="inlineStr">
        <is>
          <t>Kommuner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46230</v>
      </c>
      <c r="F234" t="inlineStr">
        <is>
          <t>KRONOBERGS LÄN</t>
        </is>
      </c>
      <c r="G234" t="inlineStr">
        <is>
          <t>LESSEBO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46230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51990-2024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45607</v>
      </c>
      <c r="E236" s="1" t="n">
        <v>46230</v>
      </c>
      <c r="F236" t="inlineStr">
        <is>
          <t>KRONOBERGS LÄN</t>
        </is>
      </c>
      <c r="G236" t="inlineStr">
        <is>
          <t>LESSEBO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45560</v>
      </c>
      <c r="E237" s="1" t="n">
        <v>46230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46230</v>
      </c>
      <c r="F238" t="inlineStr">
        <is>
          <t>KRONOBERGS LÄN</t>
        </is>
      </c>
      <c r="G238" t="inlineStr">
        <is>
          <t>LESSEBO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21951-2025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45784</v>
      </c>
      <c r="E239" s="1" t="n">
        <v>46230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45544</v>
      </c>
      <c r="E240" s="1" t="n">
        <v>46230</v>
      </c>
      <c r="F240" t="inlineStr">
        <is>
          <t>KRONOBERGS LÄN</t>
        </is>
      </c>
      <c r="G240" t="inlineStr">
        <is>
          <t>LESSEBO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46230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46230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46230</v>
      </c>
      <c r="F243" t="inlineStr">
        <is>
          <t>KRONOBERGS LÄN</t>
        </is>
      </c>
      <c r="G243" t="inlineStr">
        <is>
          <t>LESSEBO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46230</v>
      </c>
      <c r="F244" t="inlineStr">
        <is>
          <t>KRONOBERGS LÄN</t>
        </is>
      </c>
      <c r="G244" t="inlineStr">
        <is>
          <t>LESSEBO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8173-2025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45708</v>
      </c>
      <c r="E245" s="1" t="n">
        <v>46230</v>
      </c>
      <c r="F245" t="inlineStr">
        <is>
          <t>KRONOBERGS LÄN</t>
        </is>
      </c>
      <c r="G245" t="inlineStr">
        <is>
          <t>LESSEBO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8174-2025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45708</v>
      </c>
      <c r="E246" s="1" t="n">
        <v>46230</v>
      </c>
      <c r="F246" t="inlineStr">
        <is>
          <t>KRONOBERGS LÄN</t>
        </is>
      </c>
      <c r="G246" t="inlineStr">
        <is>
          <t>LESSEBO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46230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29659-2025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45825</v>
      </c>
      <c r="E248" s="1" t="n">
        <v>46230</v>
      </c>
      <c r="F248" t="inlineStr">
        <is>
          <t>KRONOBERGS LÄN</t>
        </is>
      </c>
      <c r="G248" t="inlineStr">
        <is>
          <t>LESSEBO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46230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45777</v>
      </c>
      <c r="E250" s="1" t="n">
        <v>46230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46230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46230</v>
      </c>
      <c r="F252" t="inlineStr">
        <is>
          <t>KRONOBERGS LÄN</t>
        </is>
      </c>
      <c r="G252" t="inlineStr">
        <is>
          <t>LESSEBO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45839</v>
      </c>
      <c r="E253" s="1" t="n">
        <v>46230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45862</v>
      </c>
      <c r="E254" s="1" t="n">
        <v>46230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35899-2025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45862</v>
      </c>
      <c r="E255" s="1" t="n">
        <v>46230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2321-2023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45105</v>
      </c>
      <c r="E256" s="1" t="n">
        <v>46230</v>
      </c>
      <c r="F256" t="inlineStr">
        <is>
          <t>KRONOBERGS LÄN</t>
        </is>
      </c>
      <c r="G256" t="inlineStr">
        <is>
          <t>LESSEBO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4661-2022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44795</v>
      </c>
      <c r="E257" s="1" t="n">
        <v>46230</v>
      </c>
      <c r="F257" t="inlineStr">
        <is>
          <t>KRONOBERGS LÄN</t>
        </is>
      </c>
      <c r="G257" t="inlineStr">
        <is>
          <t>LESSEBO</t>
        </is>
      </c>
      <c r="I257" t="n">
        <v>43.6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46230</v>
      </c>
      <c r="F258" t="inlineStr">
        <is>
          <t>KRONOBERGS LÄN</t>
        </is>
      </c>
      <c r="G258" t="inlineStr">
        <is>
          <t>LESSEBO</t>
        </is>
      </c>
      <c r="I258" t="n">
        <v>78.8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46230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46230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46230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46230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46230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46230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46230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46230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46230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46230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46230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46230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46230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46230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46230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46230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2026-07-27T01:47:56Z</dcterms:created>
  <dcterms:modified xmlns:dcterms="http://purl.org/dc/terms/" xmlns:xsi="http://www.w3.org/2001/XMLSchema-instance" xsi:type="dcterms:W3CDTF">2026-07-27T01:47:56Z</dcterms:modified>
</cp:coreProperties>
</file>