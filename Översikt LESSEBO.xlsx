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558-2024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45349</v>
      </c>
      <c r="E2" s="1" t="n">
        <v>46307</v>
      </c>
      <c r="F2" t="inlineStr">
        <is>
          <t>KRONOBERGS LÄN</t>
        </is>
      </c>
      <c r="G2" t="inlineStr">
        <is>
          <t>LESSEBO</t>
        </is>
      </c>
      <c r="I2" t="n">
        <v>7.8</v>
      </c>
      <c r="J2" t="n">
        <v>1</v>
      </c>
      <c r="K2" t="n">
        <v>5</v>
      </c>
      <c r="L2" t="n">
        <v>2</v>
      </c>
      <c r="M2" t="n">
        <v>1</v>
      </c>
      <c r="N2" t="n">
        <v>1</v>
      </c>
      <c r="O2" t="n">
        <v>0</v>
      </c>
      <c r="P2" t="n">
        <v>0</v>
      </c>
      <c r="Q2" t="n">
        <v>4</v>
      </c>
      <c r="R2" t="n">
        <v>2</v>
      </c>
      <c r="S2" t="n">
        <v>9</v>
      </c>
      <c r="T2" t="n">
        <v>35</v>
      </c>
      <c r="U2" t="n">
        <v>0</v>
      </c>
      <c r="V2" s="2" t="inlineStr">
        <is>
          <t>Ask
Läderbagge
Kardinalrödrock
Thamiaraea hospita
Avlång flatbagge
Dorcatoma chrysomelina
Guldlockmossa
Noshornsoxe
Sotlav</t>
        </is>
      </c>
      <c r="W2">
        <f>HYPERLINK("https://klasma.github.io/Logging_0761/artfynd/S 558-2024 artfynd.xlsx", "S 558-2024")</f>
        <v/>
      </c>
      <c r="X2">
        <f>HYPERLINK("https://klasma.github.io/Logging_0761/kartor/S 558-2024 karta.png", "S 558-2024")</f>
        <v/>
      </c>
      <c r="Y2">
        <f>HYPERLINK("https://klasma.github.io/Logging_0761/kartor_geotiff/S 558-2024 georefererad karta.tif", "S 558-2024")</f>
        <v/>
      </c>
      <c r="AA2">
        <f>HYPERLINK("https://klasma.github.io/Logging_0761/klagomål/S 558-2024 FSC-klagomål.docx", "S 558-2024")</f>
        <v/>
      </c>
      <c r="AB2">
        <f>HYPERLINK("https://klasma.github.io/Logging_0761/klagomålsmail/S 558-2024 FSC-klagomål mail.docx", "S 558-2024")</f>
        <v/>
      </c>
      <c r="AC2">
        <f>HYPERLINK("https://klasma.github.io/Logging_0761/tillsyn/S 558-2024 tillsynsbegäran.docx", "S 558-2024")</f>
        <v/>
      </c>
      <c r="AD2">
        <f>HYPERLINK("https://klasma.github.io/Logging_0761/tillsynsmail/S 558-2024 tillsynsbegäran mail.docx", "S 558-2024")</f>
        <v/>
      </c>
    </row>
    <row r="3" ht="15" customHeight="1">
      <c r="A3" t="inlineStr">
        <is>
          <t>S 95-2026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46035</v>
      </c>
      <c r="E3" s="1" t="n">
        <v>46307</v>
      </c>
      <c r="F3" t="inlineStr">
        <is>
          <t>KRONOBERGS LÄN</t>
        </is>
      </c>
      <c r="G3" t="inlineStr">
        <is>
          <t>LESSEBO</t>
        </is>
      </c>
      <c r="H3" t="inlineStr">
        <is>
          <t>Kommuner</t>
        </is>
      </c>
      <c r="I3" t="n">
        <v>11.9</v>
      </c>
      <c r="J3" t="n">
        <v>1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5</v>
      </c>
      <c r="T3" t="n">
        <v>5</v>
      </c>
      <c r="U3" t="n">
        <v>0</v>
      </c>
      <c r="V3" s="2" t="inlineStr">
        <is>
          <t>Korallticka
Svinrot
Blomskägglav
Rostfläck
Blåsippa</t>
        </is>
      </c>
      <c r="W3">
        <f>HYPERLINK("https://klasma.github.io/Logging_0761/artfynd/S 95-2026 artfynd.xlsx", "S 95-2026")</f>
        <v/>
      </c>
      <c r="X3">
        <f>HYPERLINK("https://klasma.github.io/Logging_0761/kartor/S 95-2026 karta.png", "S 95-2026")</f>
        <v/>
      </c>
      <c r="Y3">
        <f>HYPERLINK("https://klasma.github.io/Logging_0761/kartor_geotiff/S 95-2026 georefererad karta.tif", "S 95-2026")</f>
        <v/>
      </c>
      <c r="AA3">
        <f>HYPERLINK("https://klasma.github.io/Logging_0761/klagomål/S 95-2026 FSC-klagomål.docx", "S 95-2026")</f>
        <v/>
      </c>
      <c r="AB3">
        <f>HYPERLINK("https://klasma.github.io/Logging_0761/klagomålsmail/S 95-2026 FSC-klagomål mail.docx", "S 95-2026")</f>
        <v/>
      </c>
      <c r="AC3">
        <f>HYPERLINK("https://klasma.github.io/Logging_0761/tillsyn/S 95-2026 tillsynsbegäran.docx", "S 95-2026")</f>
        <v/>
      </c>
      <c r="AD3">
        <f>HYPERLINK("https://klasma.github.io/Logging_0761/tillsynsmail/S 95-2026 tillsynsbegäran mail.docx", "S 95-2026")</f>
        <v/>
      </c>
    </row>
    <row r="4" ht="15" customHeight="1">
      <c r="A4" t="inlineStr">
        <is>
          <t>A 52544-2025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45954</v>
      </c>
      <c r="E4" s="1" t="n">
        <v>46307</v>
      </c>
      <c r="F4" t="inlineStr">
        <is>
          <t>KRONOBERGS LÄN</t>
        </is>
      </c>
      <c r="G4" t="inlineStr">
        <is>
          <t>LESSEBO</t>
        </is>
      </c>
      <c r="H4" t="inlineStr">
        <is>
          <t>Sveaskog</t>
        </is>
      </c>
      <c r="I4" t="n">
        <v>4.6</v>
      </c>
      <c r="J4" t="n">
        <v>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13</v>
      </c>
      <c r="U4" t="n">
        <v>12</v>
      </c>
      <c r="V4" s="2" t="inlineStr">
        <is>
          <t>Gulsparv
Grönsiska
Kungsfågel
Trädlärka</t>
        </is>
      </c>
      <c r="W4">
        <f>HYPERLINK("https://klasma.github.io/Logging_0761/artfynd/A 52544-2025 artfynd.xlsx", "A 52544-2025")</f>
        <v/>
      </c>
      <c r="X4">
        <f>HYPERLINK("https://klasma.github.io/Logging_0761/kartor/A 52544-2025 karta.png", "A 52544-2025")</f>
        <v/>
      </c>
      <c r="Y4">
        <f>HYPERLINK("https://klasma.github.io/Logging_0761/kartor_geotiff/A 52544-2025 georefererad karta.tif", "A 52544-2025")</f>
        <v/>
      </c>
      <c r="AA4">
        <f>HYPERLINK("https://klasma.github.io/Logging_0761/klagomål/A 52544-2025 FSC-klagomål.docx", "A 52544-2025")</f>
        <v/>
      </c>
      <c r="AB4">
        <f>HYPERLINK("https://klasma.github.io/Logging_0761/klagomålsmail/A 52544-2025 FSC-klagomål mail.docx", "A 52544-2025")</f>
        <v/>
      </c>
      <c r="AC4">
        <f>HYPERLINK("https://klasma.github.io/Logging_0761/tillsyn/A 52544-2025 tillsynsbegäran.docx", "A 52544-2025")</f>
        <v/>
      </c>
      <c r="AD4">
        <f>HYPERLINK("https://klasma.github.io/Logging_0761/tillsynsmail/A 52544-2025 tillsynsbegäran mail.docx", "A 52544-2025")</f>
        <v/>
      </c>
      <c r="AE4">
        <f>HYPERLINK("https://klasma.github.io/Logging_0761/fåglar/A 52544-2025 prioriterade fågelarter.docx", "A 52544-2025")</f>
        <v/>
      </c>
    </row>
    <row r="5" ht="15" customHeight="1">
      <c r="A5" t="inlineStr">
        <is>
          <t>A 52542-2025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45954</v>
      </c>
      <c r="E5" s="1" t="n">
        <v>46307</v>
      </c>
      <c r="F5" t="inlineStr">
        <is>
          <t>KRONOBERGS LÄN</t>
        </is>
      </c>
      <c r="G5" t="inlineStr">
        <is>
          <t>LESSEBO</t>
        </is>
      </c>
      <c r="H5" t="inlineStr">
        <is>
          <t>Sveaskog</t>
        </is>
      </c>
      <c r="I5" t="n">
        <v>2.9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7</v>
      </c>
      <c r="U5" t="n">
        <v>7</v>
      </c>
      <c r="V5" s="2" t="inlineStr">
        <is>
          <t>Brandticka
Vedticka
Kungsfågel</t>
        </is>
      </c>
      <c r="W5">
        <f>HYPERLINK("https://klasma.github.io/Logging_0761/artfynd/A 52542-2025 artfynd.xlsx", "A 52542-2025")</f>
        <v/>
      </c>
      <c r="X5">
        <f>HYPERLINK("https://klasma.github.io/Logging_0761/kartor/A 52542-2025 karta.png", "A 52542-2025")</f>
        <v/>
      </c>
      <c r="Y5">
        <f>HYPERLINK("https://klasma.github.io/Logging_0761/kartor_geotiff/A 52542-2025 georefererad karta.tif", "A 52542-2025")</f>
        <v/>
      </c>
      <c r="AA5">
        <f>HYPERLINK("https://klasma.github.io/Logging_0761/klagomål/A 52542-2025 FSC-klagomål.docx", "A 52542-2025")</f>
        <v/>
      </c>
      <c r="AB5">
        <f>HYPERLINK("https://klasma.github.io/Logging_0761/klagomålsmail/A 52542-2025 FSC-klagomål mail.docx", "A 52542-2025")</f>
        <v/>
      </c>
      <c r="AC5">
        <f>HYPERLINK("https://klasma.github.io/Logging_0761/tillsyn/A 52542-2025 tillsynsbegäran.docx", "A 52542-2025")</f>
        <v/>
      </c>
      <c r="AD5">
        <f>HYPERLINK("https://klasma.github.io/Logging_0761/tillsynsmail/A 52542-2025 tillsynsbegäran mail.docx", "A 52542-2025")</f>
        <v/>
      </c>
    </row>
    <row r="6" ht="15" customHeight="1">
      <c r="A6" t="inlineStr">
        <is>
          <t>A 52541-2025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45954</v>
      </c>
      <c r="E6" s="1" t="n">
        <v>46307</v>
      </c>
      <c r="F6" t="inlineStr">
        <is>
          <t>KRONOBERGS LÄN</t>
        </is>
      </c>
      <c r="G6" t="inlineStr">
        <is>
          <t>LESSEBO</t>
        </is>
      </c>
      <c r="H6" t="inlineStr">
        <is>
          <t>Sveaskog</t>
        </is>
      </c>
      <c r="I6" t="n">
        <v>3.2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16</v>
      </c>
      <c r="U6" t="n">
        <v>16</v>
      </c>
      <c r="V6" s="2" t="inlineStr">
        <is>
          <t>Spillkråka
Grönsiska
Kungsfågel</t>
        </is>
      </c>
      <c r="W6">
        <f>HYPERLINK("https://klasma.github.io/Logging_0761/artfynd/A 52541-2025 artfynd.xlsx", "A 52541-2025")</f>
        <v/>
      </c>
      <c r="X6">
        <f>HYPERLINK("https://klasma.github.io/Logging_0761/kartor/A 52541-2025 karta.png", "A 52541-2025")</f>
        <v/>
      </c>
      <c r="Y6">
        <f>HYPERLINK("https://klasma.github.io/Logging_0761/kartor_geotiff/A 52541-2025 georefererad karta.tif", "A 52541-2025")</f>
        <v/>
      </c>
      <c r="AA6">
        <f>HYPERLINK("https://klasma.github.io/Logging_0761/klagomål/A 52541-2025 FSC-klagomål.docx", "A 52541-2025")</f>
        <v/>
      </c>
      <c r="AB6">
        <f>HYPERLINK("https://klasma.github.io/Logging_0761/klagomålsmail/A 52541-2025 FSC-klagomål mail.docx", "A 52541-2025")</f>
        <v/>
      </c>
      <c r="AC6">
        <f>HYPERLINK("https://klasma.github.io/Logging_0761/tillsyn/A 52541-2025 tillsynsbegäran.docx", "A 52541-2025")</f>
        <v/>
      </c>
      <c r="AD6">
        <f>HYPERLINK("https://klasma.github.io/Logging_0761/tillsynsmail/A 52541-2025 tillsynsbegäran mail.docx", "A 52541-2025")</f>
        <v/>
      </c>
      <c r="AE6">
        <f>HYPERLINK("https://klasma.github.io/Logging_0761/fåglar/A 52541-2025 prioriterade fågelarter.docx", "A 52541-2025")</f>
        <v/>
      </c>
    </row>
    <row r="7" ht="15" customHeight="1">
      <c r="A7" t="inlineStr">
        <is>
          <t>A 62152-2023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45267</v>
      </c>
      <c r="E7" s="1" t="n">
        <v>46307</v>
      </c>
      <c r="F7" t="inlineStr">
        <is>
          <t>KRONOBERGS LÄN</t>
        </is>
      </c>
      <c r="G7" t="inlineStr">
        <is>
          <t>LESSEBO</t>
        </is>
      </c>
      <c r="H7" t="inlineStr">
        <is>
          <t>Kommuner</t>
        </is>
      </c>
      <c r="I7" t="n">
        <v>2.3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s="2" t="inlineStr">
        <is>
          <t>Tvåblad
Nattviol</t>
        </is>
      </c>
      <c r="W7">
        <f>HYPERLINK("https://klasma.github.io/Logging_0761/artfynd/A 62152-2023 artfynd.xlsx", "A 62152-2023")</f>
        <v/>
      </c>
      <c r="X7">
        <f>HYPERLINK("https://klasma.github.io/Logging_0761/kartor/A 62152-2023 karta.png", "A 62152-2023")</f>
        <v/>
      </c>
      <c r="Y7">
        <f>HYPERLINK("https://klasma.github.io/Logging_0761/kartor_geotiff/A 62152-2023 georefererad karta.tif", "A 62152-2023")</f>
        <v/>
      </c>
      <c r="AA7">
        <f>HYPERLINK("https://klasma.github.io/Logging_0761/klagomål/A 62152-2023 FSC-klagomål.docx", "A 62152-2023")</f>
        <v/>
      </c>
      <c r="AB7">
        <f>HYPERLINK("https://klasma.github.io/Logging_0761/klagomålsmail/A 62152-2023 FSC-klagomål mail.docx", "A 62152-2023")</f>
        <v/>
      </c>
      <c r="AC7">
        <f>HYPERLINK("https://klasma.github.io/Logging_0761/tillsyn/A 62152-2023 tillsynsbegäran.docx", "A 62152-2023")</f>
        <v/>
      </c>
      <c r="AD7">
        <f>HYPERLINK("https://klasma.github.io/Logging_0761/tillsynsmail/A 62152-2023 tillsynsbegäran mail.docx", "A 62152-2023")</f>
        <v/>
      </c>
    </row>
    <row r="8" ht="15" customHeight="1">
      <c r="A8" t="inlineStr">
        <is>
          <t>A 25359-2026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46176</v>
      </c>
      <c r="E8" s="1" t="n">
        <v>46307</v>
      </c>
      <c r="F8" t="inlineStr">
        <is>
          <t>KRONOBERGS LÄN</t>
        </is>
      </c>
      <c r="G8" t="inlineStr">
        <is>
          <t>LESSEBO</t>
        </is>
      </c>
      <c r="H8" t="inlineStr">
        <is>
          <t>Sveaskog</t>
        </is>
      </c>
      <c r="I8" t="n">
        <v>1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3</v>
      </c>
      <c r="U8" t="n">
        <v>0</v>
      </c>
      <c r="V8" s="2" t="inlineStr">
        <is>
          <t>Talltita
Kungsfågel</t>
        </is>
      </c>
      <c r="W8">
        <f>HYPERLINK("https://klasma.github.io/Logging_0761/artfynd/A 25359-2026 artfynd.xlsx", "A 25359-2026")</f>
        <v/>
      </c>
      <c r="X8">
        <f>HYPERLINK("https://klasma.github.io/Logging_0761/kartor/A 25359-2026 karta.png", "A 25359-2026")</f>
        <v/>
      </c>
      <c r="Y8">
        <f>HYPERLINK("https://klasma.github.io/Logging_0761/kartor_geotiff/A 25359-2026 georefererad karta.tif", "A 25359-2026")</f>
        <v/>
      </c>
      <c r="AA8">
        <f>HYPERLINK("https://klasma.github.io/Logging_0761/klagomål/A 25359-2026 FSC-klagomål.docx", "A 25359-2026")</f>
        <v/>
      </c>
      <c r="AB8">
        <f>HYPERLINK("https://klasma.github.io/Logging_0761/klagomålsmail/A 25359-2026 FSC-klagomål mail.docx", "A 25359-2026")</f>
        <v/>
      </c>
      <c r="AC8">
        <f>HYPERLINK("https://klasma.github.io/Logging_0761/tillsyn/A 25359-2026 tillsynsbegäran.docx", "A 25359-2026")</f>
        <v/>
      </c>
      <c r="AD8">
        <f>HYPERLINK("https://klasma.github.io/Logging_0761/tillsynsmail/A 25359-2026 tillsynsbegäran mail.docx", "A 25359-2026")</f>
        <v/>
      </c>
      <c r="AE8">
        <f>HYPERLINK("https://klasma.github.io/Logging_0761/fåglar/A 25359-2026 prioriterade fågelarter.docx", "A 25359-2026")</f>
        <v/>
      </c>
    </row>
    <row r="9" ht="15" customHeight="1">
      <c r="A9" t="inlineStr">
        <is>
          <t>S 1801-2023</t>
        </is>
      </c>
      <c r="B9" t="inlineStr">
        <is>
          <t>samrådsanmälan</t>
        </is>
      </c>
      <c r="C9" t="inlineStr">
        <is>
          <t>Askåterföring</t>
        </is>
      </c>
      <c r="D9" s="1" t="n">
        <v>45072</v>
      </c>
      <c r="E9" s="1" t="n">
        <v>46307</v>
      </c>
      <c r="F9" t="inlineStr">
        <is>
          <t>KRONOBERGS LÄN</t>
        </is>
      </c>
      <c r="G9" t="inlineStr">
        <is>
          <t>LESSEBO</t>
        </is>
      </c>
      <c r="I9" t="n">
        <v>74.2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2</v>
      </c>
      <c r="T9" t="n">
        <v>2</v>
      </c>
      <c r="U9" t="n">
        <v>2</v>
      </c>
      <c r="V9" s="2" t="inlineStr">
        <is>
          <t>Borsttåg
Ängsstarr</t>
        </is>
      </c>
      <c r="W9">
        <f>HYPERLINK("https://klasma.github.io/Logging_0761/artfynd/S 1801-2023 artfynd.xlsx", "S 1801-2023")</f>
        <v/>
      </c>
      <c r="X9">
        <f>HYPERLINK("https://klasma.github.io/Logging_0761/kartor/S 1801-2023 karta.png", "S 1801-2023")</f>
        <v/>
      </c>
      <c r="Y9">
        <f>HYPERLINK("https://klasma.github.io/Logging_0761/kartor_geotiff/S 1801-2023 georefererad karta.tif", "S 1801-2023")</f>
        <v/>
      </c>
      <c r="AA9">
        <f>HYPERLINK("https://klasma.github.io/Logging_0761/klagomål/S 1801-2023 FSC-klagomål.docx", "S 1801-2023")</f>
        <v/>
      </c>
      <c r="AB9">
        <f>HYPERLINK("https://klasma.github.io/Logging_0761/klagomålsmail/S 1801-2023 FSC-klagomål mail.docx", "S 1801-2023")</f>
        <v/>
      </c>
      <c r="AC9">
        <f>HYPERLINK("https://klasma.github.io/Logging_0761/tillsyn/S 1801-2023 tillsynsbegäran.docx", "S 1801-2023")</f>
        <v/>
      </c>
      <c r="AD9">
        <f>HYPERLINK("https://klasma.github.io/Logging_0761/tillsynsmail/S 1801-2023 tillsynsbegäran mail.docx", "S 1801-2023")</f>
        <v/>
      </c>
    </row>
    <row r="10" ht="15" customHeight="1">
      <c r="A10" t="inlineStr">
        <is>
          <t>A 12378-2022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44637</v>
      </c>
      <c r="E10" s="1" t="n">
        <v>46307</v>
      </c>
      <c r="F10" t="inlineStr">
        <is>
          <t>KRONOBERGS LÄN</t>
        </is>
      </c>
      <c r="G10" t="inlineStr">
        <is>
          <t>LESSEBO</t>
        </is>
      </c>
      <c r="I10" t="n">
        <v>1.2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s="2" t="inlineStr">
        <is>
          <t>Lopplummer (aggregat)</t>
        </is>
      </c>
      <c r="W10">
        <f>HYPERLINK("https://klasma.github.io/Logging_0761/artfynd/A 12378-2022 artfynd.xlsx", "A 12378-2022")</f>
        <v/>
      </c>
      <c r="X10">
        <f>HYPERLINK("https://klasma.github.io/Logging_0761/kartor/A 12378-2022 karta.png", "A 12378-2022")</f>
        <v/>
      </c>
      <c r="Y10">
        <f>HYPERLINK("https://klasma.github.io/Logging_0761/kartor_geotiff/A 12378-2022 georefererad karta.tif", "A 12378-2022")</f>
        <v/>
      </c>
      <c r="AA10">
        <f>HYPERLINK("https://klasma.github.io/Logging_0761/klagomål/A 12378-2022 FSC-klagomål.docx", "A 12378-2022")</f>
        <v/>
      </c>
      <c r="AB10">
        <f>HYPERLINK("https://klasma.github.io/Logging_0761/klagomålsmail/A 12378-2022 FSC-klagomål mail.docx", "A 12378-2022")</f>
        <v/>
      </c>
      <c r="AC10">
        <f>HYPERLINK("https://klasma.github.io/Logging_0761/tillsyn/A 12378-2022 tillsynsbegäran.docx", "A 12378-2022")</f>
        <v/>
      </c>
      <c r="AD10">
        <f>HYPERLINK("https://klasma.github.io/Logging_0761/tillsynsmail/A 12378-2022 tillsynsbegäran mail.docx", "A 12378-2022")</f>
        <v/>
      </c>
    </row>
    <row r="11" ht="15" customHeight="1">
      <c r="A11" t="inlineStr">
        <is>
          <t>A 56472-2024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45625</v>
      </c>
      <c r="E11" s="1" t="n">
        <v>46307</v>
      </c>
      <c r="F11" t="inlineStr">
        <is>
          <t>KRONOBERGS LÄN</t>
        </is>
      </c>
      <c r="G11" t="inlineStr">
        <is>
          <t>LESSEBO</t>
        </is>
      </c>
      <c r="I11" t="n">
        <v>5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s="2" t="inlineStr">
        <is>
          <t>Fläcknycklar</t>
        </is>
      </c>
      <c r="W11">
        <f>HYPERLINK("https://klasma.github.io/Logging_0761/artfynd/A 56472-2024 artfynd.xlsx", "A 56472-2024")</f>
        <v/>
      </c>
      <c r="X11">
        <f>HYPERLINK("https://klasma.github.io/Logging_0761/kartor/A 56472-2024 karta.png", "A 56472-2024")</f>
        <v/>
      </c>
      <c r="Y11">
        <f>HYPERLINK("https://klasma.github.io/Logging_0761/kartor_geotiff/A 56472-2024 georefererad karta.tif", "A 56472-2024")</f>
        <v/>
      </c>
      <c r="AA11">
        <f>HYPERLINK("https://klasma.github.io/Logging_0761/klagomål/A 56472-2024 FSC-klagomål.docx", "A 56472-2024")</f>
        <v/>
      </c>
      <c r="AB11">
        <f>HYPERLINK("https://klasma.github.io/Logging_0761/klagomålsmail/A 56472-2024 FSC-klagomål mail.docx", "A 56472-2024")</f>
        <v/>
      </c>
      <c r="AC11">
        <f>HYPERLINK("https://klasma.github.io/Logging_0761/tillsyn/A 56472-2024 tillsynsbegäran.docx", "A 56472-2024")</f>
        <v/>
      </c>
      <c r="AD11">
        <f>HYPERLINK("https://klasma.github.io/Logging_0761/tillsynsmail/A 56472-2024 tillsynsbegäran mail.docx", "A 56472-2024")</f>
        <v/>
      </c>
    </row>
    <row r="12" ht="15" customHeight="1">
      <c r="A12" t="inlineStr">
        <is>
          <t>A 1488-2025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45670</v>
      </c>
      <c r="E12" s="1" t="n">
        <v>46307</v>
      </c>
      <c r="F12" t="inlineStr">
        <is>
          <t>KRONOBERGS LÄN</t>
        </is>
      </c>
      <c r="G12" t="inlineStr">
        <is>
          <t>LESSEBO</t>
        </is>
      </c>
      <c r="I12" t="n">
        <v>1.4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Korallrot</t>
        </is>
      </c>
      <c r="W12">
        <f>HYPERLINK("https://klasma.github.io/Logging_0761/artfynd/A 1488-2025 artfynd.xlsx", "A 1488-2025")</f>
        <v/>
      </c>
      <c r="X12">
        <f>HYPERLINK("https://klasma.github.io/Logging_0761/kartor/A 1488-2025 karta.png", "A 1488-2025")</f>
        <v/>
      </c>
      <c r="Y12">
        <f>HYPERLINK("https://klasma.github.io/Logging_0761/kartor_geotiff/A 1488-2025 georefererad karta.tif", "A 1488-2025")</f>
        <v/>
      </c>
      <c r="AA12">
        <f>HYPERLINK("https://klasma.github.io/Logging_0761/klagomål/A 1488-2025 FSC-klagomål.docx", "A 1488-2025")</f>
        <v/>
      </c>
      <c r="AB12">
        <f>HYPERLINK("https://klasma.github.io/Logging_0761/klagomålsmail/A 1488-2025 FSC-klagomål mail.docx", "A 1488-2025")</f>
        <v/>
      </c>
      <c r="AC12">
        <f>HYPERLINK("https://klasma.github.io/Logging_0761/tillsyn/A 1488-2025 tillsynsbegäran.docx", "A 1488-2025")</f>
        <v/>
      </c>
      <c r="AD12">
        <f>HYPERLINK("https://klasma.github.io/Logging_0761/tillsynsmail/A 1488-2025 tillsynsbegäran mail.docx", "A 1488-2025")</f>
        <v/>
      </c>
    </row>
    <row r="13" ht="15" customHeight="1">
      <c r="A13" t="inlineStr">
        <is>
          <t>A 52540-2025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45954</v>
      </c>
      <c r="E13" s="1" t="n">
        <v>46307</v>
      </c>
      <c r="F13" t="inlineStr">
        <is>
          <t>KRONOBERGS LÄN</t>
        </is>
      </c>
      <c r="G13" t="inlineStr">
        <is>
          <t>LESSEBO</t>
        </is>
      </c>
      <c r="H13" t="inlineStr">
        <is>
          <t>Sveaskog</t>
        </is>
      </c>
      <c r="I13" t="n">
        <v>1.5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4</v>
      </c>
      <c r="U13" t="n">
        <v>4</v>
      </c>
      <c r="V13" s="2" t="inlineStr">
        <is>
          <t>Kungsfågel</t>
        </is>
      </c>
      <c r="W13">
        <f>HYPERLINK("https://klasma.github.io/Logging_0761/artfynd/A 52540-2025 artfynd.xlsx", "A 52540-2025")</f>
        <v/>
      </c>
      <c r="X13">
        <f>HYPERLINK("https://klasma.github.io/Logging_0761/kartor/A 52540-2025 karta.png", "A 52540-2025")</f>
        <v/>
      </c>
      <c r="Y13">
        <f>HYPERLINK("https://klasma.github.io/Logging_0761/kartor_geotiff/A 52540-2025 georefererad karta.tif", "A 52540-2025")</f>
        <v/>
      </c>
      <c r="AA13">
        <f>HYPERLINK("https://klasma.github.io/Logging_0761/klagomål/A 52540-2025 FSC-klagomål.docx", "A 52540-2025")</f>
        <v/>
      </c>
      <c r="AB13">
        <f>HYPERLINK("https://klasma.github.io/Logging_0761/klagomålsmail/A 52540-2025 FSC-klagomål mail.docx", "A 52540-2025")</f>
        <v/>
      </c>
      <c r="AC13">
        <f>HYPERLINK("https://klasma.github.io/Logging_0761/tillsyn/A 52540-2025 tillsynsbegäran.docx", "A 52540-2025")</f>
        <v/>
      </c>
      <c r="AD13">
        <f>HYPERLINK("https://klasma.github.io/Logging_0761/tillsynsmail/A 52540-2025 tillsynsbegäran mail.docx", "A 52540-2025")</f>
        <v/>
      </c>
    </row>
    <row r="14" ht="15" customHeight="1">
      <c r="A14" t="inlineStr">
        <is>
          <t>A 52539-2025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45954</v>
      </c>
      <c r="E14" s="1" t="n">
        <v>46307</v>
      </c>
      <c r="F14" t="inlineStr">
        <is>
          <t>KRONOBERGS LÄN</t>
        </is>
      </c>
      <c r="G14" t="inlineStr">
        <is>
          <t>LESSEBO</t>
        </is>
      </c>
      <c r="H14" t="inlineStr">
        <is>
          <t>Sveaskog</t>
        </is>
      </c>
      <c r="I14" t="n">
        <v>0.7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Kungsfågel</t>
        </is>
      </c>
      <c r="W14">
        <f>HYPERLINK("https://klasma.github.io/Logging_0761/artfynd/A 52539-2025 artfynd.xlsx", "A 52539-2025")</f>
        <v/>
      </c>
      <c r="X14">
        <f>HYPERLINK("https://klasma.github.io/Logging_0761/kartor/A 52539-2025 karta.png", "A 52539-2025")</f>
        <v/>
      </c>
      <c r="Y14">
        <f>HYPERLINK("https://klasma.github.io/Logging_0761/kartor_geotiff/A 52539-2025 georefererad karta.tif", "A 52539-2025")</f>
        <v/>
      </c>
      <c r="AA14">
        <f>HYPERLINK("https://klasma.github.io/Logging_0761/klagomål/A 52539-2025 FSC-klagomål.docx", "A 52539-2025")</f>
        <v/>
      </c>
      <c r="AB14">
        <f>HYPERLINK("https://klasma.github.io/Logging_0761/klagomålsmail/A 52539-2025 FSC-klagomål mail.docx", "A 52539-2025")</f>
        <v/>
      </c>
      <c r="AC14">
        <f>HYPERLINK("https://klasma.github.io/Logging_0761/tillsyn/A 52539-2025 tillsynsbegäran.docx", "A 52539-2025")</f>
        <v/>
      </c>
      <c r="AD14">
        <f>HYPERLINK("https://klasma.github.io/Logging_0761/tillsynsmail/A 52539-2025 tillsynsbegäran mail.docx", "A 52539-2025")</f>
        <v/>
      </c>
    </row>
    <row r="15" ht="15" customHeight="1">
      <c r="A15" t="inlineStr">
        <is>
          <t>S 313-2025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45688</v>
      </c>
      <c r="E15" s="1" t="n">
        <v>46307</v>
      </c>
      <c r="F15" t="inlineStr">
        <is>
          <t>KRONOBERGS LÄN</t>
        </is>
      </c>
      <c r="G15" t="inlineStr">
        <is>
          <t>LESSEBO</t>
        </is>
      </c>
      <c r="I15" t="n">
        <v>111.2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Fläcknycklar</t>
        </is>
      </c>
      <c r="W15">
        <f>HYPERLINK("https://klasma.github.io/Logging_0761/artfynd/S 313-2025 artfynd.xlsx", "S 313-2025")</f>
        <v/>
      </c>
      <c r="X15">
        <f>HYPERLINK("https://klasma.github.io/Logging_0761/kartor/S 313-2025 karta.png", "S 313-2025")</f>
        <v/>
      </c>
      <c r="Y15">
        <f>HYPERLINK("https://klasma.github.io/Logging_0761/kartor_geotiff/S 313-2025 georefererad karta.tif", "S 313-2025")</f>
        <v/>
      </c>
      <c r="AA15">
        <f>HYPERLINK("https://klasma.github.io/Logging_0761/klagomål/S 313-2025 FSC-klagomål.docx", "S 313-2025")</f>
        <v/>
      </c>
      <c r="AB15">
        <f>HYPERLINK("https://klasma.github.io/Logging_0761/klagomålsmail/S 313-2025 FSC-klagomål mail.docx", "S 313-2025")</f>
        <v/>
      </c>
      <c r="AC15">
        <f>HYPERLINK("https://klasma.github.io/Logging_0761/tillsyn/S 313-2025 tillsynsbegäran.docx", "S 313-2025")</f>
        <v/>
      </c>
      <c r="AD15">
        <f>HYPERLINK("https://klasma.github.io/Logging_0761/tillsynsmail/S 313-2025 tillsynsbegäran mail.docx", "S 313-2025")</f>
        <v/>
      </c>
    </row>
    <row r="16" ht="15" customHeight="1">
      <c r="A16" t="inlineStr">
        <is>
          <t>S 2864-2025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45944</v>
      </c>
      <c r="E16" s="1" t="n">
        <v>46307</v>
      </c>
      <c r="F16" t="inlineStr">
        <is>
          <t>KRONOBERGS LÄN</t>
        </is>
      </c>
      <c r="G16" t="inlineStr">
        <is>
          <t>LESSEBO</t>
        </is>
      </c>
      <c r="H16" t="inlineStr">
        <is>
          <t>Kommuner</t>
        </is>
      </c>
      <c r="I16" t="n">
        <v>0.9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s="2" t="inlineStr">
        <is>
          <t>Slåttergubbe</t>
        </is>
      </c>
      <c r="W16">
        <f>HYPERLINK("https://klasma.github.io/Logging_0761/artfynd/S 2864-2025 artfynd.xlsx", "S 2864-2025")</f>
        <v/>
      </c>
      <c r="X16">
        <f>HYPERLINK("https://klasma.github.io/Logging_0761/kartor/S 2864-2025 karta.png", "S 2864-2025")</f>
        <v/>
      </c>
      <c r="Y16">
        <f>HYPERLINK("https://klasma.github.io/Logging_0761/kartor_geotiff/S 2864-2025 georefererad karta.tif", "S 2864-2025")</f>
        <v/>
      </c>
      <c r="AA16">
        <f>HYPERLINK("https://klasma.github.io/Logging_0761/klagomål/S 2864-2025 FSC-klagomål.docx", "S 2864-2025")</f>
        <v/>
      </c>
      <c r="AB16">
        <f>HYPERLINK("https://klasma.github.io/Logging_0761/klagomålsmail/S 2864-2025 FSC-klagomål mail.docx", "S 2864-2025")</f>
        <v/>
      </c>
      <c r="AC16">
        <f>HYPERLINK("https://klasma.github.io/Logging_0761/tillsyn/S 2864-2025 tillsynsbegäran.docx", "S 2864-2025")</f>
        <v/>
      </c>
      <c r="AD16">
        <f>HYPERLINK("https://klasma.github.io/Logging_0761/tillsynsmail/S 2864-2025 tillsynsbegäran mail.docx", "S 2864-2025")</f>
        <v/>
      </c>
    </row>
    <row r="17" ht="15" customHeight="1">
      <c r="A17" t="inlineStr">
        <is>
          <t>S 1978-2026</t>
        </is>
      </c>
      <c r="B17" t="inlineStr">
        <is>
          <t>samrådsanmälan</t>
        </is>
      </c>
      <c r="C17" t="inlineStr">
        <is>
          <t>Askåterföring</t>
        </is>
      </c>
      <c r="D17" s="1" t="n">
        <v>46211</v>
      </c>
      <c r="E17" s="1" t="n">
        <v>46307</v>
      </c>
      <c r="F17" t="inlineStr">
        <is>
          <t>KRONOBERGS LÄN</t>
        </is>
      </c>
      <c r="G17" t="inlineStr">
        <is>
          <t>LESSEBO</t>
        </is>
      </c>
      <c r="I17" t="n">
        <v>95.7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Korallrot</t>
        </is>
      </c>
      <c r="W17">
        <f>HYPERLINK("https://klasma.github.io/Logging_0761/artfynd/S 1978-2026 artfynd.xlsx", "S 1978-2026")</f>
        <v/>
      </c>
      <c r="X17">
        <f>HYPERLINK("https://klasma.github.io/Logging_0761/kartor/S 1978-2026 karta.png", "S 1978-2026")</f>
        <v/>
      </c>
      <c r="Y17">
        <f>HYPERLINK("https://klasma.github.io/Logging_0761/kartor_geotiff/S 1978-2026 georefererad karta.tif", "S 1978-2026")</f>
        <v/>
      </c>
      <c r="Z17">
        <f>HYPERLINK("https://klasma.github.io/Logging_0761/knärot/S 1978-2026 karta knärot.png", "S 1978-2026")</f>
        <v/>
      </c>
      <c r="AA17">
        <f>HYPERLINK("https://klasma.github.io/Logging_0761/klagomål/S 1978-2026 FSC-klagomål.docx", "S 1978-2026")</f>
        <v/>
      </c>
      <c r="AB17">
        <f>HYPERLINK("https://klasma.github.io/Logging_0761/klagomålsmail/S 1978-2026 FSC-klagomål mail.docx", "S 1978-2026")</f>
        <v/>
      </c>
      <c r="AC17">
        <f>HYPERLINK("https://klasma.github.io/Logging_0761/tillsyn/S 1978-2026 tillsynsbegäran.docx", "S 1978-2026")</f>
        <v/>
      </c>
      <c r="AD17">
        <f>HYPERLINK("https://klasma.github.io/Logging_0761/tillsynsmail/S 1978-2026 tillsynsbegäran mail.docx", "S 1978-2026")</f>
        <v/>
      </c>
    </row>
    <row r="18" ht="15" customHeight="1">
      <c r="A18" t="inlineStr">
        <is>
          <t>A 44576-2022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44840</v>
      </c>
      <c r="E18" s="1" t="n">
        <v>46307</v>
      </c>
      <c r="F18" t="inlineStr">
        <is>
          <t>KRONOBERGS LÄN</t>
        </is>
      </c>
      <c r="G18" t="inlineStr">
        <is>
          <t>LESSEBO</t>
        </is>
      </c>
      <c r="I18" t="n">
        <v>0.6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40770-2022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44824</v>
      </c>
      <c r="E19" s="1" t="n">
        <v>46307</v>
      </c>
      <c r="F19" t="inlineStr">
        <is>
          <t>KRONOBERGS LÄN</t>
        </is>
      </c>
      <c r="G19" t="inlineStr">
        <is>
          <t>LESSEBO</t>
        </is>
      </c>
      <c r="I19" t="n">
        <v>2.3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64155-2021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44510</v>
      </c>
      <c r="E20" s="1" t="n">
        <v>46307</v>
      </c>
      <c r="F20" t="inlineStr">
        <is>
          <t>KRONOBERGS LÄN</t>
        </is>
      </c>
      <c r="G20" t="inlineStr">
        <is>
          <t>LESSEBO</t>
        </is>
      </c>
      <c r="H20" t="inlineStr">
        <is>
          <t>Kyrkan</t>
        </is>
      </c>
      <c r="I20" t="n">
        <v>1.4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66390-2021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44518</v>
      </c>
      <c r="E21" s="1" t="n">
        <v>46307</v>
      </c>
      <c r="F21" t="inlineStr">
        <is>
          <t>KRONOBERGS LÄN</t>
        </is>
      </c>
      <c r="G21" t="inlineStr">
        <is>
          <t>LESSEBO</t>
        </is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49921-2022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44865</v>
      </c>
      <c r="E22" s="1" t="n">
        <v>46307</v>
      </c>
      <c r="F22" t="inlineStr">
        <is>
          <t>KRONOBERGS LÄN</t>
        </is>
      </c>
      <c r="G22" t="inlineStr">
        <is>
          <t>LESSEBO</t>
        </is>
      </c>
      <c r="I22" t="n">
        <v>1.5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45963-2022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44846</v>
      </c>
      <c r="E23" s="1" t="n">
        <v>46307</v>
      </c>
      <c r="F23" t="inlineStr">
        <is>
          <t>KRONOBERGS LÄN</t>
        </is>
      </c>
      <c r="G23" t="inlineStr">
        <is>
          <t>LESSEBO</t>
        </is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45956-2022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44846</v>
      </c>
      <c r="E24" s="1" t="n">
        <v>46307</v>
      </c>
      <c r="F24" t="inlineStr">
        <is>
          <t>KRONOBERGS LÄN</t>
        </is>
      </c>
      <c r="G24" t="inlineStr">
        <is>
          <t>LESSEBO</t>
        </is>
      </c>
      <c r="I24" t="n">
        <v>0.6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24680-2022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44727</v>
      </c>
      <c r="E25" s="1" t="n">
        <v>46307</v>
      </c>
      <c r="F25" t="inlineStr">
        <is>
          <t>KRONOBERGS LÄN</t>
        </is>
      </c>
      <c r="G25" t="inlineStr">
        <is>
          <t>LESSEBO</t>
        </is>
      </c>
      <c r="I25" t="n">
        <v>3.4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3741-2022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44586</v>
      </c>
      <c r="E26" s="1" t="n">
        <v>46307</v>
      </c>
      <c r="F26" t="inlineStr">
        <is>
          <t>KRONOBERGS LÄN</t>
        </is>
      </c>
      <c r="G26" t="inlineStr">
        <is>
          <t>LESSEBO</t>
        </is>
      </c>
      <c r="H26" t="inlineStr">
        <is>
          <t>Kommuner</t>
        </is>
      </c>
      <c r="I26" t="n">
        <v>3.3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64161-2021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44510</v>
      </c>
      <c r="E27" s="1" t="n">
        <v>46307</v>
      </c>
      <c r="F27" t="inlineStr">
        <is>
          <t>KRONOBERGS LÄN</t>
        </is>
      </c>
      <c r="G27" t="inlineStr">
        <is>
          <t>LESSEBO</t>
        </is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68513-2021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44529</v>
      </c>
      <c r="E28" s="1" t="n">
        <v>46307</v>
      </c>
      <c r="F28" t="inlineStr">
        <is>
          <t>KRONOBERGS LÄN</t>
        </is>
      </c>
      <c r="G28" t="inlineStr">
        <is>
          <t>LESSEBO</t>
        </is>
      </c>
      <c r="I28" t="n">
        <v>1.3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63330-2021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44508</v>
      </c>
      <c r="E29" s="1" t="n">
        <v>46307</v>
      </c>
      <c r="F29" t="inlineStr">
        <is>
          <t>KRONOBERGS LÄN</t>
        </is>
      </c>
      <c r="G29" t="inlineStr">
        <is>
          <t>LESSEBO</t>
        </is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66902-2021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44522</v>
      </c>
      <c r="E30" s="1" t="n">
        <v>46307</v>
      </c>
      <c r="F30" t="inlineStr">
        <is>
          <t>KRONOBERGS LÄN</t>
        </is>
      </c>
      <c r="G30" t="inlineStr">
        <is>
          <t>LESSEBO</t>
        </is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45095-2022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44842</v>
      </c>
      <c r="E31" s="1" t="n">
        <v>46307</v>
      </c>
      <c r="F31" t="inlineStr">
        <is>
          <t>KRONOBERGS LÄN</t>
        </is>
      </c>
      <c r="G31" t="inlineStr">
        <is>
          <t>LESSEBO</t>
        </is>
      </c>
      <c r="H31" t="inlineStr">
        <is>
          <t>Sveaskog</t>
        </is>
      </c>
      <c r="I31" t="n">
        <v>1.5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59408-2021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44491</v>
      </c>
      <c r="E32" s="1" t="n">
        <v>46307</v>
      </c>
      <c r="F32" t="inlineStr">
        <is>
          <t>KRONOBERGS LÄN</t>
        </is>
      </c>
      <c r="G32" t="inlineStr">
        <is>
          <t>LESSEBO</t>
        </is>
      </c>
      <c r="I32" t="n">
        <v>1.8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19495-2022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44693</v>
      </c>
      <c r="E33" s="1" t="n">
        <v>46307</v>
      </c>
      <c r="F33" t="inlineStr">
        <is>
          <t>KRONOBERGS LÄN</t>
        </is>
      </c>
      <c r="G33" t="inlineStr">
        <is>
          <t>LESSEBO</t>
        </is>
      </c>
      <c r="I33" t="n">
        <v>0.8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4200-2022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44588</v>
      </c>
      <c r="E34" s="1" t="n">
        <v>46307</v>
      </c>
      <c r="F34" t="inlineStr">
        <is>
          <t>KRONOBERGS LÄN</t>
        </is>
      </c>
      <c r="G34" t="inlineStr">
        <is>
          <t>LESSEBO</t>
        </is>
      </c>
      <c r="I34" t="n">
        <v>1.2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27794-2022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44743</v>
      </c>
      <c r="E35" s="1" t="n">
        <v>46307</v>
      </c>
      <c r="F35" t="inlineStr">
        <is>
          <t>KRONOBERGS LÄN</t>
        </is>
      </c>
      <c r="G35" t="inlineStr">
        <is>
          <t>LESSEBO</t>
        </is>
      </c>
      <c r="I35" t="n">
        <v>1.2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15180-2023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45016</v>
      </c>
      <c r="E36" s="1" t="n">
        <v>46307</v>
      </c>
      <c r="F36" t="inlineStr">
        <is>
          <t>KRONOBERGS LÄN</t>
        </is>
      </c>
      <c r="G36" t="inlineStr">
        <is>
          <t>LESSEBO</t>
        </is>
      </c>
      <c r="I36" t="n">
        <v>0.4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51189-2023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45219</v>
      </c>
      <c r="E37" s="1" t="n">
        <v>46307</v>
      </c>
      <c r="F37" t="inlineStr">
        <is>
          <t>KRONOBERGS LÄN</t>
        </is>
      </c>
      <c r="G37" t="inlineStr">
        <is>
          <t>LESSEBO</t>
        </is>
      </c>
      <c r="I37" t="n">
        <v>0.6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50892-2022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44867</v>
      </c>
      <c r="E38" s="1" t="n">
        <v>46307</v>
      </c>
      <c r="F38" t="inlineStr">
        <is>
          <t>KRONOBERGS LÄN</t>
        </is>
      </c>
      <c r="G38" t="inlineStr">
        <is>
          <t>LESSEBO</t>
        </is>
      </c>
      <c r="I38" t="n">
        <v>1.9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45838-2022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44846</v>
      </c>
      <c r="E39" s="1" t="n">
        <v>46307</v>
      </c>
      <c r="F39" t="inlineStr">
        <is>
          <t>KRONOBERGS LÄN</t>
        </is>
      </c>
      <c r="G39" t="inlineStr">
        <is>
          <t>LESSEBO</t>
        </is>
      </c>
      <c r="I39" t="n">
        <v>4.4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27713-2022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44743</v>
      </c>
      <c r="E40" s="1" t="n">
        <v>46307</v>
      </c>
      <c r="F40" t="inlineStr">
        <is>
          <t>KRONOBERGS LÄN</t>
        </is>
      </c>
      <c r="G40" t="inlineStr">
        <is>
          <t>LESSEBO</t>
        </is>
      </c>
      <c r="I40" t="n">
        <v>2.8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859-2025</t>
        </is>
      </c>
      <c r="B41" t="inlineStr">
        <is>
          <t>avverkningsanmälan</t>
        </is>
      </c>
      <c r="C41" t="inlineStr">
        <is>
          <t>Avverkning för att bevara och utveckla /försöksver</t>
        </is>
      </c>
      <c r="D41" s="1" t="n">
        <v>45665</v>
      </c>
      <c r="E41" s="1" t="n">
        <v>46307</v>
      </c>
      <c r="F41" t="inlineStr">
        <is>
          <t>KRONOBERGS LÄN</t>
        </is>
      </c>
      <c r="G41" t="inlineStr">
        <is>
          <t>LESSEBO</t>
        </is>
      </c>
      <c r="H41" t="inlineStr">
        <is>
          <t>Sveaskog</t>
        </is>
      </c>
      <c r="I41" t="n">
        <v>2.5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20824-2023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45058</v>
      </c>
      <c r="E42" s="1" t="n">
        <v>46307</v>
      </c>
      <c r="F42" t="inlineStr">
        <is>
          <t>KRONOBERGS LÄN</t>
        </is>
      </c>
      <c r="G42" t="inlineStr">
        <is>
          <t>LESSEBO</t>
        </is>
      </c>
      <c r="I42" t="n">
        <v>2.3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52031-2023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45223</v>
      </c>
      <c r="E43" s="1" t="n">
        <v>46307</v>
      </c>
      <c r="F43" t="inlineStr">
        <is>
          <t>KRONOBERGS LÄN</t>
        </is>
      </c>
      <c r="G43" t="inlineStr">
        <is>
          <t>LESSEBO</t>
        </is>
      </c>
      <c r="I43" t="n">
        <v>0.6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3876-2024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45322</v>
      </c>
      <c r="E44" s="1" t="n">
        <v>46307</v>
      </c>
      <c r="F44" t="inlineStr">
        <is>
          <t>KRONOBERGS LÄN</t>
        </is>
      </c>
      <c r="G44" t="inlineStr">
        <is>
          <t>LESSEBO</t>
        </is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30600-2024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45493</v>
      </c>
      <c r="E45" s="1" t="n">
        <v>46307</v>
      </c>
      <c r="F45" t="inlineStr">
        <is>
          <t>KRONOBERGS LÄN</t>
        </is>
      </c>
      <c r="G45" t="inlineStr">
        <is>
          <t>LESSEBO</t>
        </is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27080-2022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44741</v>
      </c>
      <c r="E46" s="1" t="n">
        <v>46307</v>
      </c>
      <c r="F46" t="inlineStr">
        <is>
          <t>KRONOBERGS LÄN</t>
        </is>
      </c>
      <c r="G46" t="inlineStr">
        <is>
          <t>LESSEBO</t>
        </is>
      </c>
      <c r="I46" t="n">
        <v>2.6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15864-2022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44664</v>
      </c>
      <c r="E47" s="1" t="n">
        <v>46307</v>
      </c>
      <c r="F47" t="inlineStr">
        <is>
          <t>KRONOBERGS LÄN</t>
        </is>
      </c>
      <c r="G47" t="inlineStr">
        <is>
          <t>LESSEBO</t>
        </is>
      </c>
      <c r="I47" t="n">
        <v>2.7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59173-2023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45253</v>
      </c>
      <c r="E48" s="1" t="n">
        <v>46307</v>
      </c>
      <c r="F48" t="inlineStr">
        <is>
          <t>KRONOBERGS LÄN</t>
        </is>
      </c>
      <c r="G48" t="inlineStr">
        <is>
          <t>LESSEBO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642-2024</t>
        </is>
      </c>
      <c r="B49" t="inlineStr">
        <is>
          <t>avverkningsanmälan</t>
        </is>
      </c>
      <c r="C49" t="inlineStr">
        <is>
          <t>Avverkning för att bevara och utveckla /försöksver</t>
        </is>
      </c>
      <c r="D49" s="1" t="n">
        <v>45299</v>
      </c>
      <c r="E49" s="1" t="n">
        <v>46307</v>
      </c>
      <c r="F49" t="inlineStr">
        <is>
          <t>KRONOBERGS LÄN</t>
        </is>
      </c>
      <c r="G49" t="inlineStr">
        <is>
          <t>LESSEBO</t>
        </is>
      </c>
      <c r="H49" t="inlineStr">
        <is>
          <t>Sveaskog</t>
        </is>
      </c>
      <c r="I49" t="n">
        <v>1.1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30966-2023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45113</v>
      </c>
      <c r="E50" s="1" t="n">
        <v>46307</v>
      </c>
      <c r="F50" t="inlineStr">
        <is>
          <t>KRONOBERGS LÄN</t>
        </is>
      </c>
      <c r="G50" t="inlineStr">
        <is>
          <t>LESSEBO</t>
        </is>
      </c>
      <c r="I50" t="n">
        <v>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68507-2021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44529</v>
      </c>
      <c r="E51" s="1" t="n">
        <v>46307</v>
      </c>
      <c r="F51" t="inlineStr">
        <is>
          <t>KRONOBERGS LÄN</t>
        </is>
      </c>
      <c r="G51" t="inlineStr">
        <is>
          <t>LESSEBO</t>
        </is>
      </c>
      <c r="I51" t="n">
        <v>0.8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24171-2024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45456</v>
      </c>
      <c r="E52" s="1" t="n">
        <v>46307</v>
      </c>
      <c r="F52" t="inlineStr">
        <is>
          <t>KRONOBERGS LÄN</t>
        </is>
      </c>
      <c r="G52" t="inlineStr">
        <is>
          <t>LESSEBO</t>
        </is>
      </c>
      <c r="I52" t="n">
        <v>1.9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24478-2024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45459</v>
      </c>
      <c r="E53" s="1" t="n">
        <v>46307</v>
      </c>
      <c r="F53" t="inlineStr">
        <is>
          <t>KRONOBERGS LÄN</t>
        </is>
      </c>
      <c r="G53" t="inlineStr">
        <is>
          <t>LESSEBO</t>
        </is>
      </c>
      <c r="I53" t="n">
        <v>0.7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38712-2022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44814</v>
      </c>
      <c r="E54" s="1" t="n">
        <v>46307</v>
      </c>
      <c r="F54" t="inlineStr">
        <is>
          <t>KRONOBERGS LÄN</t>
        </is>
      </c>
      <c r="G54" t="inlineStr">
        <is>
          <t>LESSEBO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11843-2024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45376</v>
      </c>
      <c r="E55" s="1" t="n">
        <v>46307</v>
      </c>
      <c r="F55" t="inlineStr">
        <is>
          <t>KRONOBERGS LÄN</t>
        </is>
      </c>
      <c r="G55" t="inlineStr">
        <is>
          <t>LESSEBO</t>
        </is>
      </c>
      <c r="H55" t="inlineStr">
        <is>
          <t>Kommuner</t>
        </is>
      </c>
      <c r="I55" t="n">
        <v>0.6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10047-2024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45364</v>
      </c>
      <c r="E56" s="1" t="n">
        <v>46307</v>
      </c>
      <c r="F56" t="inlineStr">
        <is>
          <t>KRONOBERGS LÄN</t>
        </is>
      </c>
      <c r="G56" t="inlineStr">
        <is>
          <t>LESSEBO</t>
        </is>
      </c>
      <c r="H56" t="inlineStr">
        <is>
          <t>Övriga Aktiebolag</t>
        </is>
      </c>
      <c r="I56" t="n">
        <v>1.5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8174-2025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45708</v>
      </c>
      <c r="E57" s="1" t="n">
        <v>46307</v>
      </c>
      <c r="F57" t="inlineStr">
        <is>
          <t>KRONOBERGS LÄN</t>
        </is>
      </c>
      <c r="G57" t="inlineStr">
        <is>
          <t>LESSEBO</t>
        </is>
      </c>
      <c r="I57" t="n">
        <v>4.2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43206-2024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45567</v>
      </c>
      <c r="E58" s="1" t="n">
        <v>46307</v>
      </c>
      <c r="F58" t="inlineStr">
        <is>
          <t>KRONOBERGS LÄN</t>
        </is>
      </c>
      <c r="G58" t="inlineStr">
        <is>
          <t>LESSEBO</t>
        </is>
      </c>
      <c r="I58" t="n">
        <v>4.3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47402-2024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45587</v>
      </c>
      <c r="E59" s="1" t="n">
        <v>46307</v>
      </c>
      <c r="F59" t="inlineStr">
        <is>
          <t>KRONOBERGS LÄN</t>
        </is>
      </c>
      <c r="G59" t="inlineStr">
        <is>
          <t>LESSEBO</t>
        </is>
      </c>
      <c r="I59" t="n">
        <v>5.5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15203-2023</t>
        </is>
      </c>
      <c r="B60" t="inlineStr">
        <is>
          <t>avverkningsanmälan</t>
        </is>
      </c>
      <c r="C60" t="inlineStr">
        <is>
          <t>Avverkning för annat ändamål</t>
        </is>
      </c>
      <c r="D60" s="1" t="n">
        <v>45017</v>
      </c>
      <c r="E60" s="1" t="n">
        <v>46307</v>
      </c>
      <c r="F60" t="inlineStr">
        <is>
          <t>KRONOBERGS LÄN</t>
        </is>
      </c>
      <c r="G60" t="inlineStr">
        <is>
          <t>LESSEBO</t>
        </is>
      </c>
      <c r="H60" t="inlineStr">
        <is>
          <t>Sveaskog</t>
        </is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15204-2023</t>
        </is>
      </c>
      <c r="B61" t="inlineStr">
        <is>
          <t>avverkningsanmälan</t>
        </is>
      </c>
      <c r="C61" t="inlineStr">
        <is>
          <t>Avverkning för annat ändamål</t>
        </is>
      </c>
      <c r="D61" s="1" t="n">
        <v>45017</v>
      </c>
      <c r="E61" s="1" t="n">
        <v>46307</v>
      </c>
      <c r="F61" t="inlineStr">
        <is>
          <t>KRONOBERGS LÄN</t>
        </is>
      </c>
      <c r="G61" t="inlineStr">
        <is>
          <t>LESSEBO</t>
        </is>
      </c>
      <c r="H61" t="inlineStr">
        <is>
          <t>Sveaskog</t>
        </is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64635-2023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45281</v>
      </c>
      <c r="E62" s="1" t="n">
        <v>46307</v>
      </c>
      <c r="F62" t="inlineStr">
        <is>
          <t>KRONOBERGS LÄN</t>
        </is>
      </c>
      <c r="G62" t="inlineStr">
        <is>
          <t>LESSEBO</t>
        </is>
      </c>
      <c r="I62" t="n">
        <v>1.6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57519-2022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44896</v>
      </c>
      <c r="E63" s="1" t="n">
        <v>46307</v>
      </c>
      <c r="F63" t="inlineStr">
        <is>
          <t>KRONOBERGS LÄN</t>
        </is>
      </c>
      <c r="G63" t="inlineStr">
        <is>
          <t>LESSEBO</t>
        </is>
      </c>
      <c r="I63" t="n">
        <v>6.6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20541-2024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45436</v>
      </c>
      <c r="E64" s="1" t="n">
        <v>46307</v>
      </c>
      <c r="F64" t="inlineStr">
        <is>
          <t>KRONOBERGS LÄN</t>
        </is>
      </c>
      <c r="G64" t="inlineStr">
        <is>
          <t>LESSEBO</t>
        </is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8690-2023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44978</v>
      </c>
      <c r="E65" s="1" t="n">
        <v>46307</v>
      </c>
      <c r="F65" t="inlineStr">
        <is>
          <t>KRONOBERGS LÄN</t>
        </is>
      </c>
      <c r="G65" t="inlineStr">
        <is>
          <t>LESSEBO</t>
        </is>
      </c>
      <c r="I65" t="n">
        <v>3.5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61995-2022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44918</v>
      </c>
      <c r="E66" s="1" t="n">
        <v>46307</v>
      </c>
      <c r="F66" t="inlineStr">
        <is>
          <t>KRONOBERGS LÄN</t>
        </is>
      </c>
      <c r="G66" t="inlineStr">
        <is>
          <t>LESSEBO</t>
        </is>
      </c>
      <c r="H66" t="inlineStr">
        <is>
          <t>Kommuner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4453-2024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45327</v>
      </c>
      <c r="E67" s="1" t="n">
        <v>46307</v>
      </c>
      <c r="F67" t="inlineStr">
        <is>
          <t>KRONOBERGS LÄN</t>
        </is>
      </c>
      <c r="G67" t="inlineStr">
        <is>
          <t>LESSEBO</t>
        </is>
      </c>
      <c r="H67" t="inlineStr">
        <is>
          <t>Kommuner</t>
        </is>
      </c>
      <c r="I67" t="n">
        <v>1.6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39549-2025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45890</v>
      </c>
      <c r="E68" s="1" t="n">
        <v>46307</v>
      </c>
      <c r="F68" t="inlineStr">
        <is>
          <t>KRONOBERGS LÄN</t>
        </is>
      </c>
      <c r="G68" t="inlineStr">
        <is>
          <t>LESSEBO</t>
        </is>
      </c>
      <c r="I68" t="n">
        <v>7.2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39750-2025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45891</v>
      </c>
      <c r="E69" s="1" t="n">
        <v>46307</v>
      </c>
      <c r="F69" t="inlineStr">
        <is>
          <t>KRONOBERGS LÄN</t>
        </is>
      </c>
      <c r="G69" t="inlineStr">
        <is>
          <t>LESSEBO</t>
        </is>
      </c>
      <c r="I69" t="n">
        <v>0.9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39884-2025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45891</v>
      </c>
      <c r="E70" s="1" t="n">
        <v>46307</v>
      </c>
      <c r="F70" t="inlineStr">
        <is>
          <t>KRONOBERGS LÄN</t>
        </is>
      </c>
      <c r="G70" t="inlineStr">
        <is>
          <t>LESSEBO</t>
        </is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18968-2024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45427</v>
      </c>
      <c r="E71" s="1" t="n">
        <v>46307</v>
      </c>
      <c r="F71" t="inlineStr">
        <is>
          <t>KRONOBERGS LÄN</t>
        </is>
      </c>
      <c r="G71" t="inlineStr">
        <is>
          <t>LESSEBO</t>
        </is>
      </c>
      <c r="I71" t="n">
        <v>1.3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35904-2025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45862</v>
      </c>
      <c r="E72" s="1" t="n">
        <v>46307</v>
      </c>
      <c r="F72" t="inlineStr">
        <is>
          <t>KRONOBERGS LÄN</t>
        </is>
      </c>
      <c r="G72" t="inlineStr">
        <is>
          <t>LESSEBO</t>
        </is>
      </c>
      <c r="H72" t="inlineStr">
        <is>
          <t>Sveaskog</t>
        </is>
      </c>
      <c r="I72" t="n">
        <v>2.1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49121-2024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45594</v>
      </c>
      <c r="E73" s="1" t="n">
        <v>46307</v>
      </c>
      <c r="F73" t="inlineStr">
        <is>
          <t>KRONOBERGS LÄN</t>
        </is>
      </c>
      <c r="G73" t="inlineStr">
        <is>
          <t>LESSEBO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56475-2024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45625</v>
      </c>
      <c r="E74" s="1" t="n">
        <v>46307</v>
      </c>
      <c r="F74" t="inlineStr">
        <is>
          <t>KRONOBERGS LÄN</t>
        </is>
      </c>
      <c r="G74" t="inlineStr">
        <is>
          <t>LESSEBO</t>
        </is>
      </c>
      <c r="I74" t="n">
        <v>1.3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50154-2022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44865</v>
      </c>
      <c r="E75" s="1" t="n">
        <v>46307</v>
      </c>
      <c r="F75" t="inlineStr">
        <is>
          <t>KRONOBERGS LÄN</t>
        </is>
      </c>
      <c r="G75" t="inlineStr">
        <is>
          <t>LESSEBO</t>
        </is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64865-2023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45282</v>
      </c>
      <c r="E76" s="1" t="n">
        <v>46307</v>
      </c>
      <c r="F76" t="inlineStr">
        <is>
          <t>KRONOBERGS LÄN</t>
        </is>
      </c>
      <c r="G76" t="inlineStr">
        <is>
          <t>LESSEBO</t>
        </is>
      </c>
      <c r="H76" t="inlineStr">
        <is>
          <t>Sveaskog</t>
        </is>
      </c>
      <c r="I76" t="n">
        <v>5.6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34386-2023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45139</v>
      </c>
      <c r="E77" s="1" t="n">
        <v>46307</v>
      </c>
      <c r="F77" t="inlineStr">
        <is>
          <t>KRONOBERGS LÄN</t>
        </is>
      </c>
      <c r="G77" t="inlineStr">
        <is>
          <t>LESSEBO</t>
        </is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56529-2022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44893</v>
      </c>
      <c r="E78" s="1" t="n">
        <v>46307</v>
      </c>
      <c r="F78" t="inlineStr">
        <is>
          <t>KRONOBERGS LÄN</t>
        </is>
      </c>
      <c r="G78" t="inlineStr">
        <is>
          <t>LESSEBO</t>
        </is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17350-2023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45035</v>
      </c>
      <c r="E79" s="1" t="n">
        <v>46307</v>
      </c>
      <c r="F79" t="inlineStr">
        <is>
          <t>KRONOBERGS LÄN</t>
        </is>
      </c>
      <c r="G79" t="inlineStr">
        <is>
          <t>LESSEBO</t>
        </is>
      </c>
      <c r="I79" t="n">
        <v>3.2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14940-2024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45398</v>
      </c>
      <c r="E80" s="1" t="n">
        <v>46307</v>
      </c>
      <c r="F80" t="inlineStr">
        <is>
          <t>KRONOBERGS LÄN</t>
        </is>
      </c>
      <c r="G80" t="inlineStr">
        <is>
          <t>LESSEBO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38227-2023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45161</v>
      </c>
      <c r="E81" s="1" t="n">
        <v>46307</v>
      </c>
      <c r="F81" t="inlineStr">
        <is>
          <t>KRONOBERGS LÄN</t>
        </is>
      </c>
      <c r="G81" t="inlineStr">
        <is>
          <t>LESSEBO</t>
        </is>
      </c>
      <c r="I81" t="n">
        <v>1.4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51990-2024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45607</v>
      </c>
      <c r="E82" s="1" t="n">
        <v>46307</v>
      </c>
      <c r="F82" t="inlineStr">
        <is>
          <t>KRONOBERGS LÄN</t>
        </is>
      </c>
      <c r="G82" t="inlineStr">
        <is>
          <t>LESSEBO</t>
        </is>
      </c>
      <c r="I82" t="n">
        <v>2.3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41598-2024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45560</v>
      </c>
      <c r="E83" s="1" t="n">
        <v>46307</v>
      </c>
      <c r="F83" t="inlineStr">
        <is>
          <t>KRONOBERGS LÄN</t>
        </is>
      </c>
      <c r="G83" t="inlineStr">
        <is>
          <t>LESSEBO</t>
        </is>
      </c>
      <c r="I83" t="n">
        <v>0.8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17836-2023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45037</v>
      </c>
      <c r="E84" s="1" t="n">
        <v>46307</v>
      </c>
      <c r="F84" t="inlineStr">
        <is>
          <t>KRONOBERGS LÄN</t>
        </is>
      </c>
      <c r="G84" t="inlineStr">
        <is>
          <t>LESSEBO</t>
        </is>
      </c>
      <c r="I84" t="n">
        <v>1.4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43809-2025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45912</v>
      </c>
      <c r="E85" s="1" t="n">
        <v>46307</v>
      </c>
      <c r="F85" t="inlineStr">
        <is>
          <t>KRONOBERGS LÄN</t>
        </is>
      </c>
      <c r="G85" t="inlineStr">
        <is>
          <t>LESSEBO</t>
        </is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20852-2025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45777</v>
      </c>
      <c r="E86" s="1" t="n">
        <v>46307</v>
      </c>
      <c r="F86" t="inlineStr">
        <is>
          <t>KRONOBERGS LÄN</t>
        </is>
      </c>
      <c r="G86" t="inlineStr">
        <is>
          <t>LESSEBO</t>
        </is>
      </c>
      <c r="H86" t="inlineStr">
        <is>
          <t>Sveaskog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61439-2024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45646</v>
      </c>
      <c r="E87" s="1" t="n">
        <v>46307</v>
      </c>
      <c r="F87" t="inlineStr">
        <is>
          <t>KRONOBERGS LÄN</t>
        </is>
      </c>
      <c r="G87" t="inlineStr">
        <is>
          <t>LESSEBO</t>
        </is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3714-2022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44586</v>
      </c>
      <c r="E88" s="1" t="n">
        <v>46307</v>
      </c>
      <c r="F88" t="inlineStr">
        <is>
          <t>KRONOBERGS LÄN</t>
        </is>
      </c>
      <c r="G88" t="inlineStr">
        <is>
          <t>LESSEBO</t>
        </is>
      </c>
      <c r="H88" t="inlineStr">
        <is>
          <t>Kommuner</t>
        </is>
      </c>
      <c r="I88" t="n">
        <v>4.1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65137-2023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45288</v>
      </c>
      <c r="E89" s="1" t="n">
        <v>46307</v>
      </c>
      <c r="F89" t="inlineStr">
        <is>
          <t>KRONOBERGS LÄN</t>
        </is>
      </c>
      <c r="G89" t="inlineStr">
        <is>
          <t>LESSEBO</t>
        </is>
      </c>
      <c r="I89" t="n">
        <v>5.4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21951-2025</t>
        </is>
      </c>
      <c r="B90" t="inlineStr">
        <is>
          <t>avverkningsanmälan</t>
        </is>
      </c>
      <c r="C90" t="inlineStr">
        <is>
          <t>Avverkning för att bevara och utveckla /försöksver</t>
        </is>
      </c>
      <c r="D90" s="1" t="n">
        <v>45784</v>
      </c>
      <c r="E90" s="1" t="n">
        <v>46307</v>
      </c>
      <c r="F90" t="inlineStr">
        <is>
          <t>KRONOBERGS LÄN</t>
        </is>
      </c>
      <c r="G90" t="inlineStr">
        <is>
          <t>LESSEBO</t>
        </is>
      </c>
      <c r="H90" t="inlineStr">
        <is>
          <t>Kommuner</t>
        </is>
      </c>
      <c r="I90" t="n">
        <v>3.8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44904-2025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45918</v>
      </c>
      <c r="E91" s="1" t="n">
        <v>46307</v>
      </c>
      <c r="F91" t="inlineStr">
        <is>
          <t>KRONOBERGS LÄN</t>
        </is>
      </c>
      <c r="G91" t="inlineStr">
        <is>
          <t>LESSEBO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37964-2024</t>
        </is>
      </c>
      <c r="B92" t="inlineStr">
        <is>
          <t>avverkningsanmälan</t>
        </is>
      </c>
      <c r="C92" t="inlineStr">
        <is>
          <t>Avverkning för att bevara och utveckla /försöksver</t>
        </is>
      </c>
      <c r="D92" s="1" t="n">
        <v>45544</v>
      </c>
      <c r="E92" s="1" t="n">
        <v>46307</v>
      </c>
      <c r="F92" t="inlineStr">
        <is>
          <t>KRONOBERGS LÄN</t>
        </is>
      </c>
      <c r="G92" t="inlineStr">
        <is>
          <t>LESSEBO</t>
        </is>
      </c>
      <c r="I92" t="n">
        <v>4.2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33240-2024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45518</v>
      </c>
      <c r="E93" s="1" t="n">
        <v>46307</v>
      </c>
      <c r="F93" t="inlineStr">
        <is>
          <t>KRONOBERGS LÄN</t>
        </is>
      </c>
      <c r="G93" t="inlineStr">
        <is>
          <t>LESSEBO</t>
        </is>
      </c>
      <c r="I93" t="n">
        <v>7.4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44899-2025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45918</v>
      </c>
      <c r="E94" s="1" t="n">
        <v>46307</v>
      </c>
      <c r="F94" t="inlineStr">
        <is>
          <t>KRONOBERGS LÄN</t>
        </is>
      </c>
      <c r="G94" t="inlineStr">
        <is>
          <t>LESSEBO</t>
        </is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39389-2024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45551</v>
      </c>
      <c r="E95" s="1" t="n">
        <v>46307</v>
      </c>
      <c r="F95" t="inlineStr">
        <is>
          <t>KRONOBERGS LÄN</t>
        </is>
      </c>
      <c r="G95" t="inlineStr">
        <is>
          <t>LESSEBO</t>
        </is>
      </c>
      <c r="I95" t="n">
        <v>2.5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43114-2024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45567</v>
      </c>
      <c r="E96" s="1" t="n">
        <v>46307</v>
      </c>
      <c r="F96" t="inlineStr">
        <is>
          <t>KRONOBERGS LÄN</t>
        </is>
      </c>
      <c r="G96" t="inlineStr">
        <is>
          <t>LESSEBO</t>
        </is>
      </c>
      <c r="H96" t="inlineStr">
        <is>
          <t>Sveaskog</t>
        </is>
      </c>
      <c r="I96" t="n">
        <v>4.6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60358-2022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44910</v>
      </c>
      <c r="E97" s="1" t="n">
        <v>46307</v>
      </c>
      <c r="F97" t="inlineStr">
        <is>
          <t>KRONOBERGS LÄN</t>
        </is>
      </c>
      <c r="G97" t="inlineStr">
        <is>
          <t>LESSEBO</t>
        </is>
      </c>
      <c r="I97" t="n">
        <v>4.5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4413-2022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44589</v>
      </c>
      <c r="E98" s="1" t="n">
        <v>46307</v>
      </c>
      <c r="F98" t="inlineStr">
        <is>
          <t>KRONOBERGS LÄN</t>
        </is>
      </c>
      <c r="G98" t="inlineStr">
        <is>
          <t>LESSEBO</t>
        </is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4742-2025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45688</v>
      </c>
      <c r="E99" s="1" t="n">
        <v>46307</v>
      </c>
      <c r="F99" t="inlineStr">
        <is>
          <t>KRONOBERGS LÄN</t>
        </is>
      </c>
      <c r="G99" t="inlineStr">
        <is>
          <t>LESSEBO</t>
        </is>
      </c>
      <c r="H99" t="inlineStr">
        <is>
          <t>Kommuner</t>
        </is>
      </c>
      <c r="I99" t="n">
        <v>3.6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29566-2024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45484</v>
      </c>
      <c r="E100" s="1" t="n">
        <v>46307</v>
      </c>
      <c r="F100" t="inlineStr">
        <is>
          <t>KRONOBERGS LÄN</t>
        </is>
      </c>
      <c r="G100" t="inlineStr">
        <is>
          <t>LESSEBO</t>
        </is>
      </c>
      <c r="I100" t="n">
        <v>21.3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4465-2024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45327</v>
      </c>
      <c r="E101" s="1" t="n">
        <v>46307</v>
      </c>
      <c r="F101" t="inlineStr">
        <is>
          <t>KRONOBERGS LÄN</t>
        </is>
      </c>
      <c r="G101" t="inlineStr">
        <is>
          <t>LESSEBO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33076-2023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45126</v>
      </c>
      <c r="E102" s="1" t="n">
        <v>46307</v>
      </c>
      <c r="F102" t="inlineStr">
        <is>
          <t>KRONOBERGS LÄN</t>
        </is>
      </c>
      <c r="G102" t="inlineStr">
        <is>
          <t>LESSEBO</t>
        </is>
      </c>
      <c r="I102" t="n">
        <v>1.7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61575-2022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44916</v>
      </c>
      <c r="E103" s="1" t="n">
        <v>46307</v>
      </c>
      <c r="F103" t="inlineStr">
        <is>
          <t>KRONOBERGS LÄN</t>
        </is>
      </c>
      <c r="G103" t="inlineStr">
        <is>
          <t>LESSEBO</t>
        </is>
      </c>
      <c r="H103" t="inlineStr">
        <is>
          <t>Kommuner</t>
        </is>
      </c>
      <c r="I103" t="n">
        <v>2.9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61588-2022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44916</v>
      </c>
      <c r="E104" s="1" t="n">
        <v>46307</v>
      </c>
      <c r="F104" t="inlineStr">
        <is>
          <t>KRONOBERGS LÄN</t>
        </is>
      </c>
      <c r="G104" t="inlineStr">
        <is>
          <t>LESSEBO</t>
        </is>
      </c>
      <c r="H104" t="inlineStr">
        <is>
          <t>Kommuner</t>
        </is>
      </c>
      <c r="I104" t="n">
        <v>4.1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70350-2021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44536</v>
      </c>
      <c r="E105" s="1" t="n">
        <v>46307</v>
      </c>
      <c r="F105" t="inlineStr">
        <is>
          <t>KRONOBERGS LÄN</t>
        </is>
      </c>
      <c r="G105" t="inlineStr">
        <is>
          <t>LESSEBO</t>
        </is>
      </c>
      <c r="I105" t="n">
        <v>0.8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1490-2025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45670</v>
      </c>
      <c r="E106" s="1" t="n">
        <v>46307</v>
      </c>
      <c r="F106" t="inlineStr">
        <is>
          <t>KRONOBERGS LÄN</t>
        </is>
      </c>
      <c r="G106" t="inlineStr">
        <is>
          <t>LESSEBO</t>
        </is>
      </c>
      <c r="H106" t="inlineStr">
        <is>
          <t>Sveaskog</t>
        </is>
      </c>
      <c r="I106" t="n">
        <v>0.8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43453-2024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45568</v>
      </c>
      <c r="E107" s="1" t="n">
        <v>46307</v>
      </c>
      <c r="F107" t="inlineStr">
        <is>
          <t>KRONOBERGS LÄN</t>
        </is>
      </c>
      <c r="G107" t="inlineStr">
        <is>
          <t>LESSEBO</t>
        </is>
      </c>
      <c r="I107" t="n">
        <v>3.3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47396-2024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45587</v>
      </c>
      <c r="E108" s="1" t="n">
        <v>46307</v>
      </c>
      <c r="F108" t="inlineStr">
        <is>
          <t>KRONOBERGS LÄN</t>
        </is>
      </c>
      <c r="G108" t="inlineStr">
        <is>
          <t>LESSEBO</t>
        </is>
      </c>
      <c r="I108" t="n">
        <v>0.6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14549-2025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45741</v>
      </c>
      <c r="E109" s="1" t="n">
        <v>46307</v>
      </c>
      <c r="F109" t="inlineStr">
        <is>
          <t>KRONOBERGS LÄN</t>
        </is>
      </c>
      <c r="G109" t="inlineStr">
        <is>
          <t>LESSEBO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27405-2024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45474</v>
      </c>
      <c r="E110" s="1" t="n">
        <v>46307</v>
      </c>
      <c r="F110" t="inlineStr">
        <is>
          <t>KRONOBERGS LÄN</t>
        </is>
      </c>
      <c r="G110" t="inlineStr">
        <is>
          <t>LESSEBO</t>
        </is>
      </c>
      <c r="I110" t="n">
        <v>0.4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7957-2023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44973</v>
      </c>
      <c r="E111" s="1" t="n">
        <v>46307</v>
      </c>
      <c r="F111" t="inlineStr">
        <is>
          <t>KRONOBERGS LÄN</t>
        </is>
      </c>
      <c r="G111" t="inlineStr">
        <is>
          <t>LESSEBO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13036-2022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44643</v>
      </c>
      <c r="E112" s="1" t="n">
        <v>46307</v>
      </c>
      <c r="F112" t="inlineStr">
        <is>
          <t>KRONOBERGS LÄN</t>
        </is>
      </c>
      <c r="G112" t="inlineStr">
        <is>
          <t>LESSEBO</t>
        </is>
      </c>
      <c r="I112" t="n">
        <v>1.5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53487-2024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45611</v>
      </c>
      <c r="E113" s="1" t="n">
        <v>46307</v>
      </c>
      <c r="F113" t="inlineStr">
        <is>
          <t>KRONOBERGS LÄN</t>
        </is>
      </c>
      <c r="G113" t="inlineStr">
        <is>
          <t>LESSEBO</t>
        </is>
      </c>
      <c r="I113" t="n">
        <v>0.9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48429-2025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45934</v>
      </c>
      <c r="E114" s="1" t="n">
        <v>46307</v>
      </c>
      <c r="F114" t="inlineStr">
        <is>
          <t>KRONOBERGS LÄN</t>
        </is>
      </c>
      <c r="G114" t="inlineStr">
        <is>
          <t>LESSEBO</t>
        </is>
      </c>
      <c r="I114" t="n">
        <v>2.9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10414-2025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45720</v>
      </c>
      <c r="E115" s="1" t="n">
        <v>46307</v>
      </c>
      <c r="F115" t="inlineStr">
        <is>
          <t>KRONOBERGS LÄN</t>
        </is>
      </c>
      <c r="G115" t="inlineStr">
        <is>
          <t>LESSEBO</t>
        </is>
      </c>
      <c r="I115" t="n">
        <v>1.4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48433-2025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45934</v>
      </c>
      <c r="E116" s="1" t="n">
        <v>46307</v>
      </c>
      <c r="F116" t="inlineStr">
        <is>
          <t>KRONOBERGS LÄN</t>
        </is>
      </c>
      <c r="G116" t="inlineStr">
        <is>
          <t>LESSEBO</t>
        </is>
      </c>
      <c r="I116" t="n">
        <v>0.6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3955-2022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44587</v>
      </c>
      <c r="E117" s="1" t="n">
        <v>46307</v>
      </c>
      <c r="F117" t="inlineStr">
        <is>
          <t>KRONOBERGS LÄN</t>
        </is>
      </c>
      <c r="G117" t="inlineStr">
        <is>
          <t>LESSEBO</t>
        </is>
      </c>
      <c r="I117" t="n">
        <v>1.6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56456-2024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45625</v>
      </c>
      <c r="E118" s="1" t="n">
        <v>46307</v>
      </c>
      <c r="F118" t="inlineStr">
        <is>
          <t>KRONOBERGS LÄN</t>
        </is>
      </c>
      <c r="G118" t="inlineStr">
        <is>
          <t>LESSEBO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56459-2024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45625</v>
      </c>
      <c r="E119" s="1" t="n">
        <v>46307</v>
      </c>
      <c r="F119" t="inlineStr">
        <is>
          <t>KRONOBERGS LÄN</t>
        </is>
      </c>
      <c r="G119" t="inlineStr">
        <is>
          <t>LESSEBO</t>
        </is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47386-2024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45587</v>
      </c>
      <c r="E120" s="1" t="n">
        <v>46307</v>
      </c>
      <c r="F120" t="inlineStr">
        <is>
          <t>KRONOBERGS LÄN</t>
        </is>
      </c>
      <c r="G120" t="inlineStr">
        <is>
          <t>LESSEBO</t>
        </is>
      </c>
      <c r="I120" t="n">
        <v>1.2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1897-2025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45671</v>
      </c>
      <c r="E121" s="1" t="n">
        <v>46307</v>
      </c>
      <c r="F121" t="inlineStr">
        <is>
          <t>KRONOBERGS LÄN</t>
        </is>
      </c>
      <c r="G121" t="inlineStr">
        <is>
          <t>LESSEBO</t>
        </is>
      </c>
      <c r="I121" t="n">
        <v>1.6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17729-2025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45758</v>
      </c>
      <c r="E122" s="1" t="n">
        <v>46307</v>
      </c>
      <c r="F122" t="inlineStr">
        <is>
          <t>KRONOBERGS LÄN</t>
        </is>
      </c>
      <c r="G122" t="inlineStr">
        <is>
          <t>LESSEBO</t>
        </is>
      </c>
      <c r="H122" t="inlineStr">
        <is>
          <t>Sveaskog</t>
        </is>
      </c>
      <c r="I122" t="n">
        <v>1.7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8174-2025</t>
        </is>
      </c>
      <c r="B123" t="inlineStr">
        <is>
          <t>avverkningsanmälan</t>
        </is>
      </c>
      <c r="C123" t="inlineStr">
        <is>
          <t>Avverkning för annat ändamål</t>
        </is>
      </c>
      <c r="D123" s="1" t="n">
        <v>45708</v>
      </c>
      <c r="E123" s="1" t="n">
        <v>46307</v>
      </c>
      <c r="F123" t="inlineStr">
        <is>
          <t>KRONOBERGS LÄN</t>
        </is>
      </c>
      <c r="G123" t="inlineStr">
        <is>
          <t>LESSEBO</t>
        </is>
      </c>
      <c r="I123" t="n">
        <v>4.2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8173-2025</t>
        </is>
      </c>
      <c r="B124" t="inlineStr">
        <is>
          <t>avverkningsanmälan</t>
        </is>
      </c>
      <c r="C124" t="inlineStr">
        <is>
          <t>Avverkning för annat ändamål</t>
        </is>
      </c>
      <c r="D124" s="1" t="n">
        <v>45708</v>
      </c>
      <c r="E124" s="1" t="n">
        <v>46307</v>
      </c>
      <c r="F124" t="inlineStr">
        <is>
          <t>KRONOBERGS LÄN</t>
        </is>
      </c>
      <c r="G124" t="inlineStr">
        <is>
          <t>LESSEBO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20825-2023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45058</v>
      </c>
      <c r="E125" s="1" t="n">
        <v>46307</v>
      </c>
      <c r="F125" t="inlineStr">
        <is>
          <t>KRONOBERGS LÄN</t>
        </is>
      </c>
      <c r="G125" t="inlineStr">
        <is>
          <t>LESSEBO</t>
        </is>
      </c>
      <c r="I125" t="n">
        <v>0.9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37399-2024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45540</v>
      </c>
      <c r="E126" s="1" t="n">
        <v>46307</v>
      </c>
      <c r="F126" t="inlineStr">
        <is>
          <t>KRONOBERGS LÄN</t>
        </is>
      </c>
      <c r="G126" t="inlineStr">
        <is>
          <t>LESSEBO</t>
        </is>
      </c>
      <c r="I126" t="n">
        <v>0.9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20443-2025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45775</v>
      </c>
      <c r="E127" s="1" t="n">
        <v>46307</v>
      </c>
      <c r="F127" t="inlineStr">
        <is>
          <t>KRONOBERGS LÄN</t>
        </is>
      </c>
      <c r="G127" t="inlineStr">
        <is>
          <t>LESSEBO</t>
        </is>
      </c>
      <c r="H127" t="inlineStr">
        <is>
          <t>Sveaskog</t>
        </is>
      </c>
      <c r="I127" t="n">
        <v>1.3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49298-2025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45938</v>
      </c>
      <c r="E128" s="1" t="n">
        <v>46307</v>
      </c>
      <c r="F128" t="inlineStr">
        <is>
          <t>KRONOBERGS LÄN</t>
        </is>
      </c>
      <c r="G128" t="inlineStr">
        <is>
          <t>LESSEBO</t>
        </is>
      </c>
      <c r="I128" t="n">
        <v>4.1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51175-2023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45219</v>
      </c>
      <c r="E129" s="1" t="n">
        <v>46307</v>
      </c>
      <c r="F129" t="inlineStr">
        <is>
          <t>KRONOBERGS LÄN</t>
        </is>
      </c>
      <c r="G129" t="inlineStr">
        <is>
          <t>LESSEBO</t>
        </is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20478-2025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45775</v>
      </c>
      <c r="E130" s="1" t="n">
        <v>46307</v>
      </c>
      <c r="F130" t="inlineStr">
        <is>
          <t>KRONOBERGS LÄN</t>
        </is>
      </c>
      <c r="G130" t="inlineStr">
        <is>
          <t>LESSEBO</t>
        </is>
      </c>
      <c r="H130" t="inlineStr">
        <is>
          <t>Sveaskog</t>
        </is>
      </c>
      <c r="I130" t="n">
        <v>3.6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20851-2025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45777</v>
      </c>
      <c r="E131" s="1" t="n">
        <v>46307</v>
      </c>
      <c r="F131" t="inlineStr">
        <is>
          <t>KRONOBERGS LÄN</t>
        </is>
      </c>
      <c r="G131" t="inlineStr">
        <is>
          <t>LESSEBO</t>
        </is>
      </c>
      <c r="H131" t="inlineStr">
        <is>
          <t>Sveaskog</t>
        </is>
      </c>
      <c r="I131" t="n">
        <v>2.9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14584-2023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45013</v>
      </c>
      <c r="E132" s="1" t="n">
        <v>46307</v>
      </c>
      <c r="F132" t="inlineStr">
        <is>
          <t>KRONOBERGS LÄN</t>
        </is>
      </c>
      <c r="G132" t="inlineStr">
        <is>
          <t>LESSEBO</t>
        </is>
      </c>
      <c r="I132" t="n">
        <v>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48639-2023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45202</v>
      </c>
      <c r="E133" s="1" t="n">
        <v>46307</v>
      </c>
      <c r="F133" t="inlineStr">
        <is>
          <t>KRONOBERGS LÄN</t>
        </is>
      </c>
      <c r="G133" t="inlineStr">
        <is>
          <t>LESSEBO</t>
        </is>
      </c>
      <c r="I133" t="n">
        <v>2.3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29659-2025</t>
        </is>
      </c>
      <c r="B134" t="inlineStr">
        <is>
          <t>avverkningsanmälan</t>
        </is>
      </c>
      <c r="C134" t="inlineStr">
        <is>
          <t>Avverkning för att bevara och utveckla /försöksver</t>
        </is>
      </c>
      <c r="D134" s="1" t="n">
        <v>45825</v>
      </c>
      <c r="E134" s="1" t="n">
        <v>46307</v>
      </c>
      <c r="F134" t="inlineStr">
        <is>
          <t>KRONOBERGS LÄN</t>
        </is>
      </c>
      <c r="G134" t="inlineStr">
        <is>
          <t>LESSEBO</t>
        </is>
      </c>
      <c r="I134" t="n">
        <v>3.3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29767-2023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45107</v>
      </c>
      <c r="E135" s="1" t="n">
        <v>46307</v>
      </c>
      <c r="F135" t="inlineStr">
        <is>
          <t>KRONOBERGS LÄN</t>
        </is>
      </c>
      <c r="G135" t="inlineStr">
        <is>
          <t>LESSEBO</t>
        </is>
      </c>
      <c r="I135" t="n">
        <v>3.6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20854-2025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45777</v>
      </c>
      <c r="E136" s="1" t="n">
        <v>46307</v>
      </c>
      <c r="F136" t="inlineStr">
        <is>
          <t>KRONOBERGS LÄN</t>
        </is>
      </c>
      <c r="G136" t="inlineStr">
        <is>
          <t>LESSEBO</t>
        </is>
      </c>
      <c r="H136" t="inlineStr">
        <is>
          <t>Sveaskog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19501-2022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44693</v>
      </c>
      <c r="E137" s="1" t="n">
        <v>46307</v>
      </c>
      <c r="F137" t="inlineStr">
        <is>
          <t>KRONOBERGS LÄN</t>
        </is>
      </c>
      <c r="G137" t="inlineStr">
        <is>
          <t>LESSEBO</t>
        </is>
      </c>
      <c r="I137" t="n">
        <v>3.3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20853-2025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45777</v>
      </c>
      <c r="E138" s="1" t="n">
        <v>46307</v>
      </c>
      <c r="F138" t="inlineStr">
        <is>
          <t>KRONOBERGS LÄN</t>
        </is>
      </c>
      <c r="G138" t="inlineStr">
        <is>
          <t>LESSEBO</t>
        </is>
      </c>
      <c r="H138" t="inlineStr">
        <is>
          <t>Sveaskog</t>
        </is>
      </c>
      <c r="I138" t="n">
        <v>2.4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50162-2023</t>
        </is>
      </c>
      <c r="B139" t="inlineStr">
        <is>
          <t>avverkningsanmälan</t>
        </is>
      </c>
      <c r="C139" t="inlineStr">
        <is>
          <t>Avverkning för annat ändamål</t>
        </is>
      </c>
      <c r="D139" s="1" t="n">
        <v>45215</v>
      </c>
      <c r="E139" s="1" t="n">
        <v>46307</v>
      </c>
      <c r="F139" t="inlineStr">
        <is>
          <t>KRONOBERGS LÄN</t>
        </is>
      </c>
      <c r="G139" t="inlineStr">
        <is>
          <t>LESSEBO</t>
        </is>
      </c>
      <c r="H139" t="inlineStr">
        <is>
          <t>Sveaskog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30527-2025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45831</v>
      </c>
      <c r="E140" s="1" t="n">
        <v>46307</v>
      </c>
      <c r="F140" t="inlineStr">
        <is>
          <t>KRONOBERGS LÄN</t>
        </is>
      </c>
      <c r="G140" t="inlineStr">
        <is>
          <t>LESSEBO</t>
        </is>
      </c>
      <c r="I140" t="n">
        <v>1.1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52031-2025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45952</v>
      </c>
      <c r="E141" s="1" t="n">
        <v>46307</v>
      </c>
      <c r="F141" t="inlineStr">
        <is>
          <t>KRONOBERGS LÄN</t>
        </is>
      </c>
      <c r="G141" t="inlineStr">
        <is>
          <t>LESSEBO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52537-2025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45954</v>
      </c>
      <c r="E142" s="1" t="n">
        <v>46307</v>
      </c>
      <c r="F142" t="inlineStr">
        <is>
          <t>KRONOBERGS LÄN</t>
        </is>
      </c>
      <c r="G142" t="inlineStr">
        <is>
          <t>LESSEBO</t>
        </is>
      </c>
      <c r="H142" t="inlineStr">
        <is>
          <t>Sveaskog</t>
        </is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52531-2025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45954</v>
      </c>
      <c r="E143" s="1" t="n">
        <v>46307</v>
      </c>
      <c r="F143" t="inlineStr">
        <is>
          <t>KRONOBERGS LÄN</t>
        </is>
      </c>
      <c r="G143" t="inlineStr">
        <is>
          <t>LESSEBO</t>
        </is>
      </c>
      <c r="H143" t="inlineStr">
        <is>
          <t>Sveaskog</t>
        </is>
      </c>
      <c r="I143" t="n">
        <v>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52532-2025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45954</v>
      </c>
      <c r="E144" s="1" t="n">
        <v>46307</v>
      </c>
      <c r="F144" t="inlineStr">
        <is>
          <t>KRONOBERGS LÄN</t>
        </is>
      </c>
      <c r="G144" t="inlineStr">
        <is>
          <t>LESSEBO</t>
        </is>
      </c>
      <c r="H144" t="inlineStr">
        <is>
          <t>Sveaskog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52546-2025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45954</v>
      </c>
      <c r="E145" s="1" t="n">
        <v>46307</v>
      </c>
      <c r="F145" t="inlineStr">
        <is>
          <t>KRONOBERGS LÄN</t>
        </is>
      </c>
      <c r="G145" t="inlineStr">
        <is>
          <t>LESSEBO</t>
        </is>
      </c>
      <c r="H145" t="inlineStr">
        <is>
          <t>Sveaskog</t>
        </is>
      </c>
      <c r="I145" t="n">
        <v>5.4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52534-2025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45954</v>
      </c>
      <c r="E146" s="1" t="n">
        <v>46307</v>
      </c>
      <c r="F146" t="inlineStr">
        <is>
          <t>KRONOBERGS LÄN</t>
        </is>
      </c>
      <c r="G146" t="inlineStr">
        <is>
          <t>LESSEBO</t>
        </is>
      </c>
      <c r="H146" t="inlineStr">
        <is>
          <t>Sveaskog</t>
        </is>
      </c>
      <c r="I146" t="n">
        <v>2.8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53122-2025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45958</v>
      </c>
      <c r="E147" s="1" t="n">
        <v>46307</v>
      </c>
      <c r="F147" t="inlineStr">
        <is>
          <t>KRONOBERGS LÄN</t>
        </is>
      </c>
      <c r="G147" t="inlineStr">
        <is>
          <t>LESSEBO</t>
        </is>
      </c>
      <c r="I147" t="n">
        <v>1.7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51191-2023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45219</v>
      </c>
      <c r="E148" s="1" t="n">
        <v>46307</v>
      </c>
      <c r="F148" t="inlineStr">
        <is>
          <t>KRONOBERGS LÄN</t>
        </is>
      </c>
      <c r="G148" t="inlineStr">
        <is>
          <t>LESSEBO</t>
        </is>
      </c>
      <c r="I148" t="n">
        <v>0.7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52525-2023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45225</v>
      </c>
      <c r="E149" s="1" t="n">
        <v>46307</v>
      </c>
      <c r="F149" t="inlineStr">
        <is>
          <t>KRONOBERGS LÄN</t>
        </is>
      </c>
      <c r="G149" t="inlineStr">
        <is>
          <t>LESSEBO</t>
        </is>
      </c>
      <c r="I149" t="n">
        <v>2.8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2755-2025</t>
        </is>
      </c>
      <c r="B150" t="inlineStr">
        <is>
          <t>avverkningsanmälan</t>
        </is>
      </c>
      <c r="C150" t="inlineStr">
        <is>
          <t>Avverkning för att bevara och utveckla /försöksver</t>
        </is>
      </c>
      <c r="D150" s="1" t="n">
        <v>45677</v>
      </c>
      <c r="E150" s="1" t="n">
        <v>46307</v>
      </c>
      <c r="F150" t="inlineStr">
        <is>
          <t>KRONOBERGS LÄN</t>
        </is>
      </c>
      <c r="G150" t="inlineStr">
        <is>
          <t>LESSEBO</t>
        </is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17517-2023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45036</v>
      </c>
      <c r="E151" s="1" t="n">
        <v>46307</v>
      </c>
      <c r="F151" t="inlineStr">
        <is>
          <t>KRONOBERGS LÄN</t>
        </is>
      </c>
      <c r="G151" t="inlineStr">
        <is>
          <t>LESSEBO</t>
        </is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21745-2022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44708</v>
      </c>
      <c r="E152" s="1" t="n">
        <v>46307</v>
      </c>
      <c r="F152" t="inlineStr">
        <is>
          <t>KRONOBERGS LÄN</t>
        </is>
      </c>
      <c r="G152" t="inlineStr">
        <is>
          <t>LESSEBO</t>
        </is>
      </c>
      <c r="I152" t="n">
        <v>9.699999999999999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1367-2023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44936</v>
      </c>
      <c r="E153" s="1" t="n">
        <v>46307</v>
      </c>
      <c r="F153" t="inlineStr">
        <is>
          <t>KRONOBERGS LÄN</t>
        </is>
      </c>
      <c r="G153" t="inlineStr">
        <is>
          <t>LESSEBO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39603-2022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44818</v>
      </c>
      <c r="E154" s="1" t="n">
        <v>46307</v>
      </c>
      <c r="F154" t="inlineStr">
        <is>
          <t>KRONOBERGS LÄN</t>
        </is>
      </c>
      <c r="G154" t="inlineStr">
        <is>
          <t>LESSEBO</t>
        </is>
      </c>
      <c r="I154" t="n">
        <v>1.7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32712-2025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45839</v>
      </c>
      <c r="E155" s="1" t="n">
        <v>46307</v>
      </c>
      <c r="F155" t="inlineStr">
        <is>
          <t>KRONOBERGS LÄN</t>
        </is>
      </c>
      <c r="G155" t="inlineStr">
        <is>
          <t>LESSEBO</t>
        </is>
      </c>
      <c r="H155" t="inlineStr">
        <is>
          <t>Sveaskog</t>
        </is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27191-2022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44741</v>
      </c>
      <c r="E156" s="1" t="n">
        <v>46307</v>
      </c>
      <c r="F156" t="inlineStr">
        <is>
          <t>KRONOBERGS LÄN</t>
        </is>
      </c>
      <c r="G156" t="inlineStr">
        <is>
          <t>LESSEBO</t>
        </is>
      </c>
      <c r="I156" t="n">
        <v>4.5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49295-2025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45938</v>
      </c>
      <c r="E157" s="1" t="n">
        <v>46307</v>
      </c>
      <c r="F157" t="inlineStr">
        <is>
          <t>KRONOBERGS LÄN</t>
        </is>
      </c>
      <c r="G157" t="inlineStr">
        <is>
          <t>LESSEBO</t>
        </is>
      </c>
      <c r="I157" t="n">
        <v>7.4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17203-2025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45756</v>
      </c>
      <c r="E158" s="1" t="n">
        <v>46307</v>
      </c>
      <c r="F158" t="inlineStr">
        <is>
          <t>KRONOBERGS LÄN</t>
        </is>
      </c>
      <c r="G158" t="inlineStr">
        <is>
          <t>LESSEBO</t>
        </is>
      </c>
      <c r="I158" t="n">
        <v>2.9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4107-2025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45684</v>
      </c>
      <c r="E159" s="1" t="n">
        <v>46307</v>
      </c>
      <c r="F159" t="inlineStr">
        <is>
          <t>KRONOBERGS LÄN</t>
        </is>
      </c>
      <c r="G159" t="inlineStr">
        <is>
          <t>LESSEBO</t>
        </is>
      </c>
      <c r="I159" t="n">
        <v>1.6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40912-2023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45173</v>
      </c>
      <c r="E160" s="1" t="n">
        <v>46307</v>
      </c>
      <c r="F160" t="inlineStr">
        <is>
          <t>KRONOBERGS LÄN</t>
        </is>
      </c>
      <c r="G160" t="inlineStr">
        <is>
          <t>LESSEBO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3239-2025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45679</v>
      </c>
      <c r="E161" s="1" t="n">
        <v>46307</v>
      </c>
      <c r="F161" t="inlineStr">
        <is>
          <t>KRONOBERGS LÄN</t>
        </is>
      </c>
      <c r="G161" t="inlineStr">
        <is>
          <t>LESSEBO</t>
        </is>
      </c>
      <c r="H161" t="inlineStr">
        <is>
          <t>Kommuner</t>
        </is>
      </c>
      <c r="I161" t="n">
        <v>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54541-2023</t>
        </is>
      </c>
      <c r="B162" t="inlineStr">
        <is>
          <t>avverkningsanmälan</t>
        </is>
      </c>
      <c r="C162" t="inlineStr">
        <is>
          <t>Avverkning för annat ändamål</t>
        </is>
      </c>
      <c r="D162" s="1" t="n">
        <v>45233</v>
      </c>
      <c r="E162" s="1" t="n">
        <v>46307</v>
      </c>
      <c r="F162" t="inlineStr">
        <is>
          <t>KRONOBERGS LÄN</t>
        </is>
      </c>
      <c r="G162" t="inlineStr">
        <is>
          <t>LESSEBO</t>
        </is>
      </c>
      <c r="H162" t="inlineStr">
        <is>
          <t>Sveaskog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3875-2024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45322</v>
      </c>
      <c r="E163" s="1" t="n">
        <v>46307</v>
      </c>
      <c r="F163" t="inlineStr">
        <is>
          <t>KRONOBERGS LÄN</t>
        </is>
      </c>
      <c r="G163" t="inlineStr">
        <is>
          <t>LESSEBO</t>
        </is>
      </c>
      <c r="I163" t="n">
        <v>3.2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35909-2025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45862</v>
      </c>
      <c r="E164" s="1" t="n">
        <v>46307</v>
      </c>
      <c r="F164" t="inlineStr">
        <is>
          <t>KRONOBERGS LÄN</t>
        </is>
      </c>
      <c r="G164" t="inlineStr">
        <is>
          <t>LESSEBO</t>
        </is>
      </c>
      <c r="H164" t="inlineStr">
        <is>
          <t>Sveaskog</t>
        </is>
      </c>
      <c r="I164" t="n">
        <v>2.7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35899-2025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45862</v>
      </c>
      <c r="E165" s="1" t="n">
        <v>46307</v>
      </c>
      <c r="F165" t="inlineStr">
        <is>
          <t>KRONOBERGS LÄN</t>
        </is>
      </c>
      <c r="G165" t="inlineStr">
        <is>
          <t>LESSEBO</t>
        </is>
      </c>
      <c r="H165" t="inlineStr">
        <is>
          <t>Sveaskog</t>
        </is>
      </c>
      <c r="I165" t="n">
        <v>1.4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18207-2025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45761</v>
      </c>
      <c r="E166" s="1" t="n">
        <v>46307</v>
      </c>
      <c r="F166" t="inlineStr">
        <is>
          <t>KRONOBERGS LÄN</t>
        </is>
      </c>
      <c r="G166" t="inlineStr">
        <is>
          <t>LESSEBO</t>
        </is>
      </c>
      <c r="H166" t="inlineStr">
        <is>
          <t>Sveaskog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18211-2025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45761</v>
      </c>
      <c r="E167" s="1" t="n">
        <v>46307</v>
      </c>
      <c r="F167" t="inlineStr">
        <is>
          <t>KRONOBERGS LÄN</t>
        </is>
      </c>
      <c r="G167" t="inlineStr">
        <is>
          <t>LESSEBO</t>
        </is>
      </c>
      <c r="H167" t="inlineStr">
        <is>
          <t>Sveaskog</t>
        </is>
      </c>
      <c r="I167" t="n">
        <v>0.7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41905-2022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44830</v>
      </c>
      <c r="E168" s="1" t="n">
        <v>46307</v>
      </c>
      <c r="F168" t="inlineStr">
        <is>
          <t>KRONOBERGS LÄN</t>
        </is>
      </c>
      <c r="G168" t="inlineStr">
        <is>
          <t>LESSEBO</t>
        </is>
      </c>
      <c r="H168" t="inlineStr">
        <is>
          <t>Sveaskog</t>
        </is>
      </c>
      <c r="I168" t="n">
        <v>0.7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63927-2021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44509</v>
      </c>
      <c r="E169" s="1" t="n">
        <v>46307</v>
      </c>
      <c r="F169" t="inlineStr">
        <is>
          <t>KRONOBERGS LÄN</t>
        </is>
      </c>
      <c r="G169" t="inlineStr">
        <is>
          <t>LESSEBO</t>
        </is>
      </c>
      <c r="H169" t="inlineStr">
        <is>
          <t>Sveaskog</t>
        </is>
      </c>
      <c r="I169" t="n">
        <v>2.6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39436-2022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44818</v>
      </c>
      <c r="E170" s="1" t="n">
        <v>46307</v>
      </c>
      <c r="F170" t="inlineStr">
        <is>
          <t>KRONOBERGS LÄN</t>
        </is>
      </c>
      <c r="G170" t="inlineStr">
        <is>
          <t>LESSEBO</t>
        </is>
      </c>
      <c r="I170" t="n">
        <v>2.7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8655-2025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45710</v>
      </c>
      <c r="E171" s="1" t="n">
        <v>46307</v>
      </c>
      <c r="F171" t="inlineStr">
        <is>
          <t>KRONOBERGS LÄN</t>
        </is>
      </c>
      <c r="G171" t="inlineStr">
        <is>
          <t>LESSEBO</t>
        </is>
      </c>
      <c r="I171" t="n">
        <v>2.1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13347-2026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46094</v>
      </c>
      <c r="E172" s="1" t="n">
        <v>46307</v>
      </c>
      <c r="F172" t="inlineStr">
        <is>
          <t>KRONOBERGS LÄN</t>
        </is>
      </c>
      <c r="G172" t="inlineStr">
        <is>
          <t>LESSEBO</t>
        </is>
      </c>
      <c r="H172" t="inlineStr">
        <is>
          <t>Kommuner</t>
        </is>
      </c>
      <c r="I172" t="n">
        <v>0.9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17204-2025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45756</v>
      </c>
      <c r="E173" s="1" t="n">
        <v>46307</v>
      </c>
      <c r="F173" t="inlineStr">
        <is>
          <t>KRONOBERGS LÄN</t>
        </is>
      </c>
      <c r="G173" t="inlineStr">
        <is>
          <t>LESSEBO</t>
        </is>
      </c>
      <c r="I173" t="n">
        <v>0.6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41900-2022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44830</v>
      </c>
      <c r="E174" s="1" t="n">
        <v>46307</v>
      </c>
      <c r="F174" t="inlineStr">
        <is>
          <t>KRONOBERGS LÄN</t>
        </is>
      </c>
      <c r="G174" t="inlineStr">
        <is>
          <t>LESSEBO</t>
        </is>
      </c>
      <c r="H174" t="inlineStr">
        <is>
          <t>Sveaskog</t>
        </is>
      </c>
      <c r="I174" t="n">
        <v>5.2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22432-2023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45070</v>
      </c>
      <c r="E175" s="1" t="n">
        <v>46307</v>
      </c>
      <c r="F175" t="inlineStr">
        <is>
          <t>KRONOBERGS LÄN</t>
        </is>
      </c>
      <c r="G175" t="inlineStr">
        <is>
          <t>LESSEBO</t>
        </is>
      </c>
      <c r="H175" t="inlineStr">
        <is>
          <t>Kommuner</t>
        </is>
      </c>
      <c r="I175" t="n">
        <v>2.9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35332-2022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44798</v>
      </c>
      <c r="E176" s="1" t="n">
        <v>46307</v>
      </c>
      <c r="F176" t="inlineStr">
        <is>
          <t>KRONOBERGS LÄN</t>
        </is>
      </c>
      <c r="G176" t="inlineStr">
        <is>
          <t>LESSEBO</t>
        </is>
      </c>
      <c r="I176" t="n">
        <v>2.2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56467-2024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45625</v>
      </c>
      <c r="E177" s="1" t="n">
        <v>46307</v>
      </c>
      <c r="F177" t="inlineStr">
        <is>
          <t>KRONOBERGS LÄN</t>
        </is>
      </c>
      <c r="G177" t="inlineStr">
        <is>
          <t>LESSEBO</t>
        </is>
      </c>
      <c r="I177" t="n">
        <v>1.4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17552-2023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45036</v>
      </c>
      <c r="E178" s="1" t="n">
        <v>46307</v>
      </c>
      <c r="F178" t="inlineStr">
        <is>
          <t>KRONOBERGS LÄN</t>
        </is>
      </c>
      <c r="G178" t="inlineStr">
        <is>
          <t>LESSEBO</t>
        </is>
      </c>
      <c r="I178" t="n">
        <v>1.3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13751-2025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45737</v>
      </c>
      <c r="E179" s="1" t="n">
        <v>46307</v>
      </c>
      <c r="F179" t="inlineStr">
        <is>
          <t>KRONOBERGS LÄN</t>
        </is>
      </c>
      <c r="G179" t="inlineStr">
        <is>
          <t>LESSEBO</t>
        </is>
      </c>
      <c r="I179" t="n">
        <v>0.7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59320-2024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45637</v>
      </c>
      <c r="E180" s="1" t="n">
        <v>46307</v>
      </c>
      <c r="F180" t="inlineStr">
        <is>
          <t>KRONOBERGS LÄN</t>
        </is>
      </c>
      <c r="G180" t="inlineStr">
        <is>
          <t>LESSEBO</t>
        </is>
      </c>
      <c r="H180" t="inlineStr">
        <is>
          <t>Sveaskog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30405-2023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45111</v>
      </c>
      <c r="E181" s="1" t="n">
        <v>46307</v>
      </c>
      <c r="F181" t="inlineStr">
        <is>
          <t>KRONOBERGS LÄN</t>
        </is>
      </c>
      <c r="G181" t="inlineStr">
        <is>
          <t>LESSEBO</t>
        </is>
      </c>
      <c r="I181" t="n">
        <v>4.3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18464-2026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46127</v>
      </c>
      <c r="E182" s="1" t="n">
        <v>46307</v>
      </c>
      <c r="F182" t="inlineStr">
        <is>
          <t>KRONOBERGS LÄN</t>
        </is>
      </c>
      <c r="G182" t="inlineStr">
        <is>
          <t>LESSEBO</t>
        </is>
      </c>
      <c r="H182" t="inlineStr">
        <is>
          <t>Sveaskog</t>
        </is>
      </c>
      <c r="I182" t="n">
        <v>14.2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18466-2026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46127</v>
      </c>
      <c r="E183" s="1" t="n">
        <v>46307</v>
      </c>
      <c r="F183" t="inlineStr">
        <is>
          <t>KRONOBERGS LÄN</t>
        </is>
      </c>
      <c r="G183" t="inlineStr">
        <is>
          <t>LESSEBO</t>
        </is>
      </c>
      <c r="H183" t="inlineStr">
        <is>
          <t>Sveaskog</t>
        </is>
      </c>
      <c r="I183" t="n">
        <v>7.9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18625-2026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46127</v>
      </c>
      <c r="E184" s="1" t="n">
        <v>46307</v>
      </c>
      <c r="F184" t="inlineStr">
        <is>
          <t>KRONOBERGS LÄN</t>
        </is>
      </c>
      <c r="G184" t="inlineStr">
        <is>
          <t>LESSEBO</t>
        </is>
      </c>
      <c r="I184" t="n">
        <v>0.6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70349-2021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44536</v>
      </c>
      <c r="E185" s="1" t="n">
        <v>46307</v>
      </c>
      <c r="F185" t="inlineStr">
        <is>
          <t>KRONOBERGS LÄN</t>
        </is>
      </c>
      <c r="G185" t="inlineStr">
        <is>
          <t>LESSEBO</t>
        </is>
      </c>
      <c r="I185" t="n">
        <v>1.3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61638-2025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46002</v>
      </c>
      <c r="E186" s="1" t="n">
        <v>46307</v>
      </c>
      <c r="F186" t="inlineStr">
        <is>
          <t>KRONOBERGS LÄN</t>
        </is>
      </c>
      <c r="G186" t="inlineStr">
        <is>
          <t>LESSEBO</t>
        </is>
      </c>
      <c r="I186" t="n">
        <v>6.2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61641-2025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46002</v>
      </c>
      <c r="E187" s="1" t="n">
        <v>46307</v>
      </c>
      <c r="F187" t="inlineStr">
        <is>
          <t>KRONOBERGS LÄN</t>
        </is>
      </c>
      <c r="G187" t="inlineStr">
        <is>
          <t>LESSEBO</t>
        </is>
      </c>
      <c r="H187" t="inlineStr">
        <is>
          <t>Sveaskog</t>
        </is>
      </c>
      <c r="I187" t="n">
        <v>1.9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21917-2025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45784</v>
      </c>
      <c r="E188" s="1" t="n">
        <v>46307</v>
      </c>
      <c r="F188" t="inlineStr">
        <is>
          <t>KRONOBERGS LÄN</t>
        </is>
      </c>
      <c r="G188" t="inlineStr">
        <is>
          <t>LESSEBO</t>
        </is>
      </c>
      <c r="I188" t="n">
        <v>1.7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20855-2025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45777</v>
      </c>
      <c r="E189" s="1" t="n">
        <v>46307</v>
      </c>
      <c r="F189" t="inlineStr">
        <is>
          <t>KRONOBERGS LÄN</t>
        </is>
      </c>
      <c r="G189" t="inlineStr">
        <is>
          <t>LESSEBO</t>
        </is>
      </c>
      <c r="H189" t="inlineStr">
        <is>
          <t>Sveaskog</t>
        </is>
      </c>
      <c r="I189" t="n">
        <v>2.7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62728-2025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46008</v>
      </c>
      <c r="E190" s="1" t="n">
        <v>46307</v>
      </c>
      <c r="F190" t="inlineStr">
        <is>
          <t>KRONOBERGS LÄN</t>
        </is>
      </c>
      <c r="G190" t="inlineStr">
        <is>
          <t>LESSEBO</t>
        </is>
      </c>
      <c r="H190" t="inlineStr">
        <is>
          <t>Sveaskog</t>
        </is>
      </c>
      <c r="I190" t="n">
        <v>2.2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1894-2025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45671</v>
      </c>
      <c r="E191" s="1" t="n">
        <v>46307</v>
      </c>
      <c r="F191" t="inlineStr">
        <is>
          <t>KRONOBERGS LÄN</t>
        </is>
      </c>
      <c r="G191" t="inlineStr">
        <is>
          <t>LESSEBO</t>
        </is>
      </c>
      <c r="I191" t="n">
        <v>1.6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47693-2025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45931</v>
      </c>
      <c r="E192" s="1" t="n">
        <v>46307</v>
      </c>
      <c r="F192" t="inlineStr">
        <is>
          <t>KRONOBERGS LÄN</t>
        </is>
      </c>
      <c r="G192" t="inlineStr">
        <is>
          <t>LESSEBO</t>
        </is>
      </c>
      <c r="I192" t="n">
        <v>2.2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20056-2025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45772</v>
      </c>
      <c r="E193" s="1" t="n">
        <v>46307</v>
      </c>
      <c r="F193" t="inlineStr">
        <is>
          <t>KRONOBERGS LÄN</t>
        </is>
      </c>
      <c r="G193" t="inlineStr">
        <is>
          <t>LESSEBO</t>
        </is>
      </c>
      <c r="I193" t="n">
        <v>0.7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30914-2022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44767</v>
      </c>
      <c r="E194" s="1" t="n">
        <v>46307</v>
      </c>
      <c r="F194" t="inlineStr">
        <is>
          <t>KRONOBERGS LÄN</t>
        </is>
      </c>
      <c r="G194" t="inlineStr">
        <is>
          <t>LESSEBO</t>
        </is>
      </c>
      <c r="I194" t="n">
        <v>1.4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73140-2021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44550</v>
      </c>
      <c r="E195" s="1" t="n">
        <v>46307</v>
      </c>
      <c r="F195" t="inlineStr">
        <is>
          <t>KRONOBERGS LÄN</t>
        </is>
      </c>
      <c r="G195" t="inlineStr">
        <is>
          <t>LESSEBO</t>
        </is>
      </c>
      <c r="I195" t="n">
        <v>1.1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1022-2026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46030</v>
      </c>
      <c r="E196" s="1" t="n">
        <v>46307</v>
      </c>
      <c r="F196" t="inlineStr">
        <is>
          <t>KRONOBERGS LÄN</t>
        </is>
      </c>
      <c r="G196" t="inlineStr">
        <is>
          <t>LESSEBO</t>
        </is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27574-2023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45097</v>
      </c>
      <c r="E197" s="1" t="n">
        <v>46307</v>
      </c>
      <c r="F197" t="inlineStr">
        <is>
          <t>KRONOBERGS LÄN</t>
        </is>
      </c>
      <c r="G197" t="inlineStr">
        <is>
          <t>LESSEBO</t>
        </is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1016-2026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46030</v>
      </c>
      <c r="E198" s="1" t="n">
        <v>46307</v>
      </c>
      <c r="F198" t="inlineStr">
        <is>
          <t>KRONOBERGS LÄN</t>
        </is>
      </c>
      <c r="G198" t="inlineStr">
        <is>
          <t>LESSEBO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4839-2023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44955</v>
      </c>
      <c r="E199" s="1" t="n">
        <v>46307</v>
      </c>
      <c r="F199" t="inlineStr">
        <is>
          <t>KRONOBERGS LÄN</t>
        </is>
      </c>
      <c r="G199" t="inlineStr">
        <is>
          <t>LESSEBO</t>
        </is>
      </c>
      <c r="I199" t="n">
        <v>2.2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3605-2024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45320</v>
      </c>
      <c r="E200" s="1" t="n">
        <v>46307</v>
      </c>
      <c r="F200" t="inlineStr">
        <is>
          <t>KRONOBERGS LÄN</t>
        </is>
      </c>
      <c r="G200" t="inlineStr">
        <is>
          <t>LESSEBO</t>
        </is>
      </c>
      <c r="I200" t="n">
        <v>1.9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36895-2025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45874</v>
      </c>
      <c r="E201" s="1" t="n">
        <v>46307</v>
      </c>
      <c r="F201" t="inlineStr">
        <is>
          <t>KRONOBERGS LÄN</t>
        </is>
      </c>
      <c r="G201" t="inlineStr">
        <is>
          <t>LESSEBO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21546-2023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45063</v>
      </c>
      <c r="E202" s="1" t="n">
        <v>46307</v>
      </c>
      <c r="F202" t="inlineStr">
        <is>
          <t>KRONOBERGS LÄN</t>
        </is>
      </c>
      <c r="G202" t="inlineStr">
        <is>
          <t>LESSEBO</t>
        </is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56471-2024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45625</v>
      </c>
      <c r="E203" s="1" t="n">
        <v>46307</v>
      </c>
      <c r="F203" t="inlineStr">
        <is>
          <t>KRONOBERGS LÄN</t>
        </is>
      </c>
      <c r="G203" t="inlineStr">
        <is>
          <t>LESSEBO</t>
        </is>
      </c>
      <c r="I203" t="n">
        <v>3.5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4229-2026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46044</v>
      </c>
      <c r="E204" s="1" t="n">
        <v>46307</v>
      </c>
      <c r="F204" t="inlineStr">
        <is>
          <t>KRONOBERGS LÄN</t>
        </is>
      </c>
      <c r="G204" t="inlineStr">
        <is>
          <t>LESSEBO</t>
        </is>
      </c>
      <c r="I204" t="n">
        <v>9.699999999999999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38303-2025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45883</v>
      </c>
      <c r="E205" s="1" t="n">
        <v>46307</v>
      </c>
      <c r="F205" t="inlineStr">
        <is>
          <t>KRONOBERGS LÄN</t>
        </is>
      </c>
      <c r="G205" t="inlineStr">
        <is>
          <t>LESSEBO</t>
        </is>
      </c>
      <c r="I205" t="n">
        <v>1.3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4236-2026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46044</v>
      </c>
      <c r="E206" s="1" t="n">
        <v>46307</v>
      </c>
      <c r="F206" t="inlineStr">
        <is>
          <t>KRONOBERGS LÄN</t>
        </is>
      </c>
      <c r="G206" t="inlineStr">
        <is>
          <t>LESSEBO</t>
        </is>
      </c>
      <c r="I206" t="n">
        <v>3.3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35894-2025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45862</v>
      </c>
      <c r="E207" s="1" t="n">
        <v>46307</v>
      </c>
      <c r="F207" t="inlineStr">
        <is>
          <t>KRONOBERGS LÄN</t>
        </is>
      </c>
      <c r="G207" t="inlineStr">
        <is>
          <t>LESSEBO</t>
        </is>
      </c>
      <c r="H207" t="inlineStr">
        <is>
          <t>Sveaskog</t>
        </is>
      </c>
      <c r="I207" t="n">
        <v>1.8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8438-2026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46065</v>
      </c>
      <c r="E208" s="1" t="n">
        <v>46307</v>
      </c>
      <c r="F208" t="inlineStr">
        <is>
          <t>KRONOBERGS LÄN</t>
        </is>
      </c>
      <c r="G208" t="inlineStr">
        <is>
          <t>LESSEBO</t>
        </is>
      </c>
      <c r="H208" t="inlineStr">
        <is>
          <t>Sveaskog</t>
        </is>
      </c>
      <c r="I208" t="n">
        <v>4.5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10286-2026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46076</v>
      </c>
      <c r="E209" s="1" t="n">
        <v>46307</v>
      </c>
      <c r="F209" t="inlineStr">
        <is>
          <t>KRONOBERGS LÄN</t>
        </is>
      </c>
      <c r="G209" t="inlineStr">
        <is>
          <t>LESSEBO</t>
        </is>
      </c>
      <c r="I209" t="n">
        <v>0.8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10185-2026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46076</v>
      </c>
      <c r="E210" s="1" t="n">
        <v>46307</v>
      </c>
      <c r="F210" t="inlineStr">
        <is>
          <t>KRONOBERGS LÄN</t>
        </is>
      </c>
      <c r="G210" t="inlineStr">
        <is>
          <t>LESSEBO</t>
        </is>
      </c>
      <c r="I210" t="n">
        <v>3.9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10189-2026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46076</v>
      </c>
      <c r="E211" s="1" t="n">
        <v>46307</v>
      </c>
      <c r="F211" t="inlineStr">
        <is>
          <t>KRONOBERGS LÄN</t>
        </is>
      </c>
      <c r="G211" t="inlineStr">
        <is>
          <t>LESSEBO</t>
        </is>
      </c>
      <c r="I211" t="n">
        <v>0.8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22423-2026</t>
        </is>
      </c>
      <c r="B212" t="inlineStr">
        <is>
          <t>avverkningsanmälan</t>
        </is>
      </c>
      <c r="C212" t="inlineStr">
        <is>
          <t>Avverkning för att bevara och utveckla /försöksver</t>
        </is>
      </c>
      <c r="D212" s="1" t="n">
        <v>46154</v>
      </c>
      <c r="E212" s="1" t="n">
        <v>46307</v>
      </c>
      <c r="F212" t="inlineStr">
        <is>
          <t>KRONOBERGS LÄN</t>
        </is>
      </c>
      <c r="G212" t="inlineStr">
        <is>
          <t>LESSEBO</t>
        </is>
      </c>
      <c r="I212" t="n">
        <v>2.3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22764-2026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46157</v>
      </c>
      <c r="E213" s="1" t="n">
        <v>46307</v>
      </c>
      <c r="F213" t="inlineStr">
        <is>
          <t>KRONOBERGS LÄN</t>
        </is>
      </c>
      <c r="G213" t="inlineStr">
        <is>
          <t>LESSEBO</t>
        </is>
      </c>
      <c r="H213" t="inlineStr">
        <is>
          <t>Sveaskog</t>
        </is>
      </c>
      <c r="I213" t="n">
        <v>3.5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22768-2026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46157</v>
      </c>
      <c r="E214" s="1" t="n">
        <v>46307</v>
      </c>
      <c r="F214" t="inlineStr">
        <is>
          <t>KRONOBERGS LÄN</t>
        </is>
      </c>
      <c r="G214" t="inlineStr">
        <is>
          <t>LESSEBO</t>
        </is>
      </c>
      <c r="H214" t="inlineStr">
        <is>
          <t>Sveaskog</t>
        </is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22770-2026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46157</v>
      </c>
      <c r="E215" s="1" t="n">
        <v>46307</v>
      </c>
      <c r="F215" t="inlineStr">
        <is>
          <t>KRONOBERGS LÄN</t>
        </is>
      </c>
      <c r="G215" t="inlineStr">
        <is>
          <t>LESSEBO</t>
        </is>
      </c>
      <c r="H215" t="inlineStr">
        <is>
          <t>Sveaskog</t>
        </is>
      </c>
      <c r="I215" t="n">
        <v>1.3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20431-2025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45775</v>
      </c>
      <c r="E216" s="1" t="n">
        <v>46307</v>
      </c>
      <c r="F216" t="inlineStr">
        <is>
          <t>KRONOBERGS LÄN</t>
        </is>
      </c>
      <c r="G216" t="inlineStr">
        <is>
          <t>LESSEBO</t>
        </is>
      </c>
      <c r="H216" t="inlineStr">
        <is>
          <t>Sveaskog</t>
        </is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22723-2026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46157</v>
      </c>
      <c r="E217" s="1" t="n">
        <v>46307</v>
      </c>
      <c r="F217" t="inlineStr">
        <is>
          <t>KRONOBERGS LÄN</t>
        </is>
      </c>
      <c r="G217" t="inlineStr">
        <is>
          <t>LESSEBO</t>
        </is>
      </c>
      <c r="H217" t="inlineStr">
        <is>
          <t>Sveaskog</t>
        </is>
      </c>
      <c r="I217" t="n">
        <v>2.9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20681-2025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45776</v>
      </c>
      <c r="E218" s="1" t="n">
        <v>46307</v>
      </c>
      <c r="F218" t="inlineStr">
        <is>
          <t>KRONOBERGS LÄN</t>
        </is>
      </c>
      <c r="G218" t="inlineStr">
        <is>
          <t>LESSEBO</t>
        </is>
      </c>
      <c r="H218" t="inlineStr">
        <is>
          <t>Sveaskog</t>
        </is>
      </c>
      <c r="I218" t="n">
        <v>1.3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22718-2026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46157</v>
      </c>
      <c r="E219" s="1" t="n">
        <v>46307</v>
      </c>
      <c r="F219" t="inlineStr">
        <is>
          <t>KRONOBERGS LÄN</t>
        </is>
      </c>
      <c r="G219" t="inlineStr">
        <is>
          <t>LESSEBO</t>
        </is>
      </c>
      <c r="H219" t="inlineStr">
        <is>
          <t>Sveaskog</t>
        </is>
      </c>
      <c r="I219" t="n">
        <v>4.1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22766-2026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46157</v>
      </c>
      <c r="E220" s="1" t="n">
        <v>46307</v>
      </c>
      <c r="F220" t="inlineStr">
        <is>
          <t>KRONOBERGS LÄN</t>
        </is>
      </c>
      <c r="G220" t="inlineStr">
        <is>
          <t>LESSEBO</t>
        </is>
      </c>
      <c r="H220" t="inlineStr">
        <is>
          <t>Sveaskog</t>
        </is>
      </c>
      <c r="I220" t="n">
        <v>0.6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22756-2026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46157</v>
      </c>
      <c r="E221" s="1" t="n">
        <v>46307</v>
      </c>
      <c r="F221" t="inlineStr">
        <is>
          <t>KRONOBERGS LÄN</t>
        </is>
      </c>
      <c r="G221" t="inlineStr">
        <is>
          <t>LESSEBO</t>
        </is>
      </c>
      <c r="H221" t="inlineStr">
        <is>
          <t>Sveaskog</t>
        </is>
      </c>
      <c r="I221" t="n">
        <v>8.699999999999999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22758-2026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46157</v>
      </c>
      <c r="E222" s="1" t="n">
        <v>46307</v>
      </c>
      <c r="F222" t="inlineStr">
        <is>
          <t>KRONOBERGS LÄN</t>
        </is>
      </c>
      <c r="G222" t="inlineStr">
        <is>
          <t>LESSEBO</t>
        </is>
      </c>
      <c r="H222" t="inlineStr">
        <is>
          <t>Sveaskog</t>
        </is>
      </c>
      <c r="I222" t="n">
        <v>3.9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20435-2025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45775</v>
      </c>
      <c r="E223" s="1" t="n">
        <v>46307</v>
      </c>
      <c r="F223" t="inlineStr">
        <is>
          <t>KRONOBERGS LÄN</t>
        </is>
      </c>
      <c r="G223" t="inlineStr">
        <is>
          <t>LESSEBO</t>
        </is>
      </c>
      <c r="H223" t="inlineStr">
        <is>
          <t>Sveaskog</t>
        </is>
      </c>
      <c r="I223" t="n">
        <v>3.5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20485-2025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45775</v>
      </c>
      <c r="E224" s="1" t="n">
        <v>46307</v>
      </c>
      <c r="F224" t="inlineStr">
        <is>
          <t>KRONOBERGS LÄN</t>
        </is>
      </c>
      <c r="G224" t="inlineStr">
        <is>
          <t>LESSEBO</t>
        </is>
      </c>
      <c r="H224" t="inlineStr">
        <is>
          <t>Sveaskog</t>
        </is>
      </c>
      <c r="I224" t="n">
        <v>1.1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22719-2026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46157</v>
      </c>
      <c r="E225" s="1" t="n">
        <v>46307</v>
      </c>
      <c r="F225" t="inlineStr">
        <is>
          <t>KRONOBERGS LÄN</t>
        </is>
      </c>
      <c r="G225" t="inlineStr">
        <is>
          <t>LESSEBO</t>
        </is>
      </c>
      <c r="H225" t="inlineStr">
        <is>
          <t>Sveaskog</t>
        </is>
      </c>
      <c r="I225" t="n">
        <v>1.7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22720-2026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46157</v>
      </c>
      <c r="E226" s="1" t="n">
        <v>46307</v>
      </c>
      <c r="F226" t="inlineStr">
        <is>
          <t>KRONOBERGS LÄN</t>
        </is>
      </c>
      <c r="G226" t="inlineStr">
        <is>
          <t>LESSEBO</t>
        </is>
      </c>
      <c r="H226" t="inlineStr">
        <is>
          <t>Sveaskog</t>
        </is>
      </c>
      <c r="I226" t="n">
        <v>3.8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24275-2026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46169</v>
      </c>
      <c r="E227" s="1" t="n">
        <v>46307</v>
      </c>
      <c r="F227" t="inlineStr">
        <is>
          <t>KRONOBERGS LÄN</t>
        </is>
      </c>
      <c r="G227" t="inlineStr">
        <is>
          <t>LESSEBO</t>
        </is>
      </c>
      <c r="I227" t="n">
        <v>3.6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24271-2026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46169</v>
      </c>
      <c r="E228" s="1" t="n">
        <v>46307</v>
      </c>
      <c r="F228" t="inlineStr">
        <is>
          <t>KRONOBERGS LÄN</t>
        </is>
      </c>
      <c r="G228" t="inlineStr">
        <is>
          <t>LESSEBO</t>
        </is>
      </c>
      <c r="I228" t="n">
        <v>1.9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24272-2026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46169</v>
      </c>
      <c r="E229" s="1" t="n">
        <v>46307</v>
      </c>
      <c r="F229" t="inlineStr">
        <is>
          <t>KRONOBERGS LÄN</t>
        </is>
      </c>
      <c r="G229" t="inlineStr">
        <is>
          <t>LESSEBO</t>
        </is>
      </c>
      <c r="I229" t="n">
        <v>2.6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24269-2026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46169</v>
      </c>
      <c r="E230" s="1" t="n">
        <v>46307</v>
      </c>
      <c r="F230" t="inlineStr">
        <is>
          <t>KRONOBERGS LÄN</t>
        </is>
      </c>
      <c r="G230" t="inlineStr">
        <is>
          <t>LESSEBO</t>
        </is>
      </c>
      <c r="I230" t="n">
        <v>3.7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25169-2026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46175</v>
      </c>
      <c r="E231" s="1" t="n">
        <v>46307</v>
      </c>
      <c r="F231" t="inlineStr">
        <is>
          <t>KRONOBERGS LÄN</t>
        </is>
      </c>
      <c r="G231" t="inlineStr">
        <is>
          <t>LESSEBO</t>
        </is>
      </c>
      <c r="I231" t="n">
        <v>1.9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59321-2024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45637</v>
      </c>
      <c r="E232" s="1" t="n">
        <v>46307</v>
      </c>
      <c r="F232" t="inlineStr">
        <is>
          <t>KRONOBERGS LÄN</t>
        </is>
      </c>
      <c r="G232" t="inlineStr">
        <is>
          <t>LESSEBO</t>
        </is>
      </c>
      <c r="H232" t="inlineStr">
        <is>
          <t>Sveaskog</t>
        </is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20441-2025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45775</v>
      </c>
      <c r="E233" s="1" t="n">
        <v>46307</v>
      </c>
      <c r="F233" t="inlineStr">
        <is>
          <t>KRONOBERGS LÄN</t>
        </is>
      </c>
      <c r="G233" t="inlineStr">
        <is>
          <t>LESSEBO</t>
        </is>
      </c>
      <c r="H233" t="inlineStr">
        <is>
          <t>Sveaskog</t>
        </is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14551-2025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45741</v>
      </c>
      <c r="E234" s="1" t="n">
        <v>46307</v>
      </c>
      <c r="F234" t="inlineStr">
        <is>
          <t>KRONOBERGS LÄN</t>
        </is>
      </c>
      <c r="G234" t="inlineStr">
        <is>
          <t>LESSEBO</t>
        </is>
      </c>
      <c r="I234" t="n">
        <v>0.3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27870-2026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46191</v>
      </c>
      <c r="E235" s="1" t="n">
        <v>46307</v>
      </c>
      <c r="F235" t="inlineStr">
        <is>
          <t>KRONOBERGS LÄN</t>
        </is>
      </c>
      <c r="G235" t="inlineStr">
        <is>
          <t>LESSEBO</t>
        </is>
      </c>
      <c r="I235" t="n">
        <v>0.8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27873-2026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46191</v>
      </c>
      <c r="E236" s="1" t="n">
        <v>46307</v>
      </c>
      <c r="F236" t="inlineStr">
        <is>
          <t>KRONOBERGS LÄN</t>
        </is>
      </c>
      <c r="G236" t="inlineStr">
        <is>
          <t>LESSEBO</t>
        </is>
      </c>
      <c r="I236" t="n">
        <v>1.8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20480-2025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45775</v>
      </c>
      <c r="E237" s="1" t="n">
        <v>46307</v>
      </c>
      <c r="F237" t="inlineStr">
        <is>
          <t>KRONOBERGS LÄN</t>
        </is>
      </c>
      <c r="G237" t="inlineStr">
        <is>
          <t>LESSEBO</t>
        </is>
      </c>
      <c r="H237" t="inlineStr">
        <is>
          <t>Sveaskog</t>
        </is>
      </c>
      <c r="I237" t="n">
        <v>1.4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30826-2026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46205</v>
      </c>
      <c r="E238" s="1" t="n">
        <v>46307</v>
      </c>
      <c r="F238" t="inlineStr">
        <is>
          <t>KRONOBERGS LÄN</t>
        </is>
      </c>
      <c r="G238" t="inlineStr">
        <is>
          <t>LESSEBO</t>
        </is>
      </c>
      <c r="I238" t="n">
        <v>1.8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30822-2026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46205</v>
      </c>
      <c r="E239" s="1" t="n">
        <v>46307</v>
      </c>
      <c r="F239" t="inlineStr">
        <is>
          <t>KRONOBERGS LÄN</t>
        </is>
      </c>
      <c r="G239" t="inlineStr">
        <is>
          <t>LESSEBO</t>
        </is>
      </c>
      <c r="I239" t="n">
        <v>3.7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31252-2026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46218</v>
      </c>
      <c r="E240" s="1" t="n">
        <v>46307</v>
      </c>
      <c r="F240" t="inlineStr">
        <is>
          <t>KRONOBERGS LÄN</t>
        </is>
      </c>
      <c r="G240" t="inlineStr">
        <is>
          <t>LESSEBO</t>
        </is>
      </c>
      <c r="H240" t="inlineStr">
        <is>
          <t>Kommuner</t>
        </is>
      </c>
      <c r="I240" t="n">
        <v>2.1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36067-2026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46267</v>
      </c>
      <c r="E241" s="1" t="n">
        <v>46307</v>
      </c>
      <c r="F241" t="inlineStr">
        <is>
          <t>KRONOBERGS LÄN</t>
        </is>
      </c>
      <c r="G241" t="inlineStr">
        <is>
          <t>LESSEBO</t>
        </is>
      </c>
      <c r="H241" t="inlineStr">
        <is>
          <t>Sveaskog</t>
        </is>
      </c>
      <c r="I241" t="n">
        <v>3.4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36313-2026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46268</v>
      </c>
      <c r="E242" s="1" t="n">
        <v>46307</v>
      </c>
      <c r="F242" t="inlineStr">
        <is>
          <t>KRONOBERGS LÄN</t>
        </is>
      </c>
      <c r="G242" t="inlineStr">
        <is>
          <t>LESSEBO</t>
        </is>
      </c>
      <c r="I242" t="n">
        <v>2.5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37786-2026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46279</v>
      </c>
      <c r="E243" s="1" t="n">
        <v>46307</v>
      </c>
      <c r="F243" t="inlineStr">
        <is>
          <t>KRONOBERGS LÄN</t>
        </is>
      </c>
      <c r="G243" t="inlineStr">
        <is>
          <t>LESSEBO</t>
        </is>
      </c>
      <c r="I243" t="n">
        <v>1.4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38098-2026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46281</v>
      </c>
      <c r="E244" s="1" t="n">
        <v>46307</v>
      </c>
      <c r="F244" t="inlineStr">
        <is>
          <t>KRONOBERGS LÄN</t>
        </is>
      </c>
      <c r="G244" t="inlineStr">
        <is>
          <t>LESSEBO</t>
        </is>
      </c>
      <c r="I244" t="n">
        <v>0.5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32771-2026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46241</v>
      </c>
      <c r="E245" s="1" t="n">
        <v>46307</v>
      </c>
      <c r="F245" t="inlineStr">
        <is>
          <t>KRONOBERGS LÄN</t>
        </is>
      </c>
      <c r="G245" t="inlineStr">
        <is>
          <t>LESSEBO</t>
        </is>
      </c>
      <c r="I245" t="n">
        <v>1.5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32760-2026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46241</v>
      </c>
      <c r="E246" s="1" t="n">
        <v>46307</v>
      </c>
      <c r="F246" t="inlineStr">
        <is>
          <t>KRONOBERGS LÄN</t>
        </is>
      </c>
      <c r="G246" t="inlineStr">
        <is>
          <t>LESSEBO</t>
        </is>
      </c>
      <c r="I246" t="n">
        <v>0.5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32768-2026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46241</v>
      </c>
      <c r="E247" s="1" t="n">
        <v>46307</v>
      </c>
      <c r="F247" t="inlineStr">
        <is>
          <t>KRONOBERGS LÄN</t>
        </is>
      </c>
      <c r="G247" t="inlineStr">
        <is>
          <t>LESSEBO</t>
        </is>
      </c>
      <c r="I247" t="n">
        <v>3.3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32764-2026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46241</v>
      </c>
      <c r="E248" s="1" t="n">
        <v>46307</v>
      </c>
      <c r="F248" t="inlineStr">
        <is>
          <t>KRONOBERGS LÄN</t>
        </is>
      </c>
      <c r="G248" t="inlineStr">
        <is>
          <t>LESSEBO</t>
        </is>
      </c>
      <c r="I248" t="n">
        <v>3.6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39350-2026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46288</v>
      </c>
      <c r="E249" s="1" t="n">
        <v>46307</v>
      </c>
      <c r="F249" t="inlineStr">
        <is>
          <t>KRONOBERGS LÄN</t>
        </is>
      </c>
      <c r="G249" t="inlineStr">
        <is>
          <t>LESSEBO</t>
        </is>
      </c>
      <c r="I249" t="n">
        <v>3.2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39250-2026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46288</v>
      </c>
      <c r="E250" s="1" t="n">
        <v>46307</v>
      </c>
      <c r="F250" t="inlineStr">
        <is>
          <t>KRONOBERGS LÄN</t>
        </is>
      </c>
      <c r="G250" t="inlineStr">
        <is>
          <t>LESSEBO</t>
        </is>
      </c>
      <c r="I250" t="n">
        <v>0.8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40426-2026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46294</v>
      </c>
      <c r="E251" s="1" t="n">
        <v>46307</v>
      </c>
      <c r="F251" t="inlineStr">
        <is>
          <t>KRONOBERGS LÄN</t>
        </is>
      </c>
      <c r="G251" t="inlineStr">
        <is>
          <t>LESSEBO</t>
        </is>
      </c>
      <c r="I251" t="n">
        <v>6.2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34661-2026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46257</v>
      </c>
      <c r="E252" s="1" t="n">
        <v>46307</v>
      </c>
      <c r="F252" t="inlineStr">
        <is>
          <t>KRONOBERGS LÄN</t>
        </is>
      </c>
      <c r="G252" t="inlineStr">
        <is>
          <t>LESSEBO</t>
        </is>
      </c>
      <c r="I252" t="n">
        <v>3.7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34806-2026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46255</v>
      </c>
      <c r="E253" s="1" t="n">
        <v>46307</v>
      </c>
      <c r="F253" t="inlineStr">
        <is>
          <t>KRONOBERGS LÄN</t>
        </is>
      </c>
      <c r="G253" t="inlineStr">
        <is>
          <t>LESSEBO</t>
        </is>
      </c>
      <c r="H253" t="inlineStr">
        <is>
          <t>Kyrkan</t>
        </is>
      </c>
      <c r="I253" t="n">
        <v>2.9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41292-2026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46300</v>
      </c>
      <c r="E254" s="1" t="n">
        <v>46307</v>
      </c>
      <c r="F254" t="inlineStr">
        <is>
          <t>KRONOBERGS LÄN</t>
        </is>
      </c>
      <c r="G254" t="inlineStr">
        <is>
          <t>LESSEBO</t>
        </is>
      </c>
      <c r="I254" t="n">
        <v>1.8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34984-2026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46258</v>
      </c>
      <c r="E255" s="1" t="n">
        <v>46307</v>
      </c>
      <c r="F255" t="inlineStr">
        <is>
          <t>KRONOBERGS LÄN</t>
        </is>
      </c>
      <c r="G255" t="inlineStr">
        <is>
          <t>LESSEBO</t>
        </is>
      </c>
      <c r="I255" t="n">
        <v>0.6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34820-2026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46255</v>
      </c>
      <c r="E256" s="1" t="n">
        <v>46307</v>
      </c>
      <c r="F256" t="inlineStr">
        <is>
          <t>KRONOBERGS LÄN</t>
        </is>
      </c>
      <c r="G256" t="inlineStr">
        <is>
          <t>LESSEBO</t>
        </is>
      </c>
      <c r="H256" t="inlineStr">
        <is>
          <t>Kyrkan</t>
        </is>
      </c>
      <c r="I256" t="n">
        <v>0.6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34855-2026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46255</v>
      </c>
      <c r="E257" s="1" t="n">
        <v>46307</v>
      </c>
      <c r="F257" t="inlineStr">
        <is>
          <t>KRONOBERGS LÄN</t>
        </is>
      </c>
      <c r="G257" t="inlineStr">
        <is>
          <t>LESSEBO</t>
        </is>
      </c>
      <c r="H257" t="inlineStr">
        <is>
          <t>Kyrkan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34894-2026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46259</v>
      </c>
      <c r="E258" s="1" t="n">
        <v>46307</v>
      </c>
      <c r="F258" t="inlineStr">
        <is>
          <t>KRONOBERGS LÄN</t>
        </is>
      </c>
      <c r="G258" t="inlineStr">
        <is>
          <t>LESSEBO</t>
        </is>
      </c>
      <c r="I258" t="n">
        <v>2.4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35568-2026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46262</v>
      </c>
      <c r="E259" s="1" t="n">
        <v>46307</v>
      </c>
      <c r="F259" t="inlineStr">
        <is>
          <t>KRONOBERGS LÄN</t>
        </is>
      </c>
      <c r="G259" t="inlineStr">
        <is>
          <t>LESSEBO</t>
        </is>
      </c>
      <c r="H259" t="inlineStr">
        <is>
          <t>Sveaskog</t>
        </is>
      </c>
      <c r="I259" t="n">
        <v>6.9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35570-2026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46262</v>
      </c>
      <c r="E260" s="1" t="n">
        <v>46307</v>
      </c>
      <c r="F260" t="inlineStr">
        <is>
          <t>KRONOBERGS LÄN</t>
        </is>
      </c>
      <c r="G260" t="inlineStr">
        <is>
          <t>LESSEBO</t>
        </is>
      </c>
      <c r="H260" t="inlineStr">
        <is>
          <t>Sveaskog</t>
        </is>
      </c>
      <c r="I260" t="n">
        <v>3.7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S 2061-2022</t>
        </is>
      </c>
      <c r="B261" t="inlineStr">
        <is>
          <t>samrådsanmälan</t>
        </is>
      </c>
      <c r="C261" t="inlineStr">
        <is>
          <t>Annan skogsbruksåtgärd</t>
        </is>
      </c>
      <c r="D261" s="1" t="n">
        <v>44672</v>
      </c>
      <c r="E261" s="1" t="n">
        <v>46307</v>
      </c>
      <c r="F261" t="inlineStr">
        <is>
          <t>KRONOBERGS LÄN</t>
        </is>
      </c>
      <c r="G261" t="inlineStr">
        <is>
          <t>LESSEBO</t>
        </is>
      </c>
      <c r="I261" t="n">
        <v>1.6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S 2321-2023</t>
        </is>
      </c>
      <c r="B262" t="inlineStr">
        <is>
          <t>samrådsanmälan</t>
        </is>
      </c>
      <c r="C262" t="inlineStr">
        <is>
          <t>Annan skogsbruksåtgärd</t>
        </is>
      </c>
      <c r="D262" s="1" t="n">
        <v>45105</v>
      </c>
      <c r="E262" s="1" t="n">
        <v>46307</v>
      </c>
      <c r="F262" t="inlineStr">
        <is>
          <t>KRONOBERGS LÄN</t>
        </is>
      </c>
      <c r="G262" t="inlineStr">
        <is>
          <t>LESSEBO</t>
        </is>
      </c>
      <c r="I262" t="n">
        <v>0.7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S 4661-2022</t>
        </is>
      </c>
      <c r="B263" t="inlineStr">
        <is>
          <t>samrådsanmälan</t>
        </is>
      </c>
      <c r="C263" t="inlineStr">
        <is>
          <t>Askåterföring</t>
        </is>
      </c>
      <c r="D263" s="1" t="n">
        <v>44795</v>
      </c>
      <c r="E263" s="1" t="n">
        <v>46307</v>
      </c>
      <c r="F263" t="inlineStr">
        <is>
          <t>KRONOBERGS LÄN</t>
        </is>
      </c>
      <c r="G263" t="inlineStr">
        <is>
          <t>LESSEBO</t>
        </is>
      </c>
      <c r="I263" t="n">
        <v>43.6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S 396-2023</t>
        </is>
      </c>
      <c r="B264" t="inlineStr">
        <is>
          <t>samrådsanmälan</t>
        </is>
      </c>
      <c r="C264" t="inlineStr">
        <is>
          <t>Askåterföring</t>
        </is>
      </c>
      <c r="D264" s="1" t="n">
        <v>44959</v>
      </c>
      <c r="E264" s="1" t="n">
        <v>46307</v>
      </c>
      <c r="F264" t="inlineStr">
        <is>
          <t>KRONOBERGS LÄN</t>
        </is>
      </c>
      <c r="G264" t="inlineStr">
        <is>
          <t>LESSEBO</t>
        </is>
      </c>
      <c r="I264" t="n">
        <v>78.8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S 1592-2023</t>
        </is>
      </c>
      <c r="B265" t="inlineStr">
        <is>
          <t>samrådsanmälan</t>
        </is>
      </c>
      <c r="C265" t="inlineStr">
        <is>
          <t>Askåterföring</t>
        </is>
      </c>
      <c r="D265" s="1" t="n">
        <v>45056</v>
      </c>
      <c r="E265" s="1" t="n">
        <v>46307</v>
      </c>
      <c r="F265" t="inlineStr">
        <is>
          <t>KRONOBERGS LÄN</t>
        </is>
      </c>
      <c r="G265" t="inlineStr">
        <is>
          <t>LESSEBO</t>
        </is>
      </c>
      <c r="I265" t="n">
        <v>19.5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S 366-2023</t>
        </is>
      </c>
      <c r="B266" t="inlineStr">
        <is>
          <t>samrådsanmälan</t>
        </is>
      </c>
      <c r="C266" t="inlineStr">
        <is>
          <t>Askåterföring</t>
        </is>
      </c>
      <c r="D266" s="1" t="n">
        <v>44959</v>
      </c>
      <c r="E266" s="1" t="n">
        <v>46307</v>
      </c>
      <c r="F266" t="inlineStr">
        <is>
          <t>KRONOBERGS LÄN</t>
        </is>
      </c>
      <c r="G266" t="inlineStr">
        <is>
          <t>LESSEBO</t>
        </is>
      </c>
      <c r="I266" t="n">
        <v>35.8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S 6799-2022</t>
        </is>
      </c>
      <c r="B267" t="inlineStr">
        <is>
          <t>samrådsanmälan</t>
        </is>
      </c>
      <c r="C267" t="inlineStr">
        <is>
          <t>Askåterföring</t>
        </is>
      </c>
      <c r="D267" s="1" t="n">
        <v>44893</v>
      </c>
      <c r="E267" s="1" t="n">
        <v>46307</v>
      </c>
      <c r="F267" t="inlineStr">
        <is>
          <t>KRONOBERGS LÄN</t>
        </is>
      </c>
      <c r="G267" t="inlineStr">
        <is>
          <t>LESSEBO</t>
        </is>
      </c>
      <c r="I267" t="n">
        <v>28.2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S 6798-2022</t>
        </is>
      </c>
      <c r="B268" t="inlineStr">
        <is>
          <t>samrådsanmälan</t>
        </is>
      </c>
      <c r="C268" t="inlineStr">
        <is>
          <t>Askåterföring</t>
        </is>
      </c>
      <c r="D268" s="1" t="n">
        <v>44893</v>
      </c>
      <c r="E268" s="1" t="n">
        <v>46307</v>
      </c>
      <c r="F268" t="inlineStr">
        <is>
          <t>KRONOBERGS LÄN</t>
        </is>
      </c>
      <c r="G268" t="inlineStr">
        <is>
          <t>LESSEBO</t>
        </is>
      </c>
      <c r="I268" t="n">
        <v>149.8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S 1806-2023</t>
        </is>
      </c>
      <c r="B269" t="inlineStr">
        <is>
          <t>samrådsanmälan</t>
        </is>
      </c>
      <c r="C269" t="inlineStr">
        <is>
          <t>Askåterföring</t>
        </is>
      </c>
      <c r="D269" s="1" t="n">
        <v>45072</v>
      </c>
      <c r="E269" s="1" t="n">
        <v>46307</v>
      </c>
      <c r="F269" t="inlineStr">
        <is>
          <t>KRONOBERGS LÄN</t>
        </is>
      </c>
      <c r="G269" t="inlineStr">
        <is>
          <t>LESSEBO</t>
        </is>
      </c>
      <c r="I269" t="n">
        <v>61.9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S 3254-2023</t>
        </is>
      </c>
      <c r="B270" t="inlineStr">
        <is>
          <t>samrådsanmälan</t>
        </is>
      </c>
      <c r="C270" t="inlineStr">
        <is>
          <t>Askåterföring</t>
        </is>
      </c>
      <c r="D270" s="1" t="n">
        <v>45193</v>
      </c>
      <c r="E270" s="1" t="n">
        <v>46307</v>
      </c>
      <c r="F270" t="inlineStr">
        <is>
          <t>KRONOBERGS LÄN</t>
        </is>
      </c>
      <c r="G270" t="inlineStr">
        <is>
          <t>LESSEBO</t>
        </is>
      </c>
      <c r="I270" t="n">
        <v>88.59999999999999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S 1019-2024</t>
        </is>
      </c>
      <c r="B271" t="inlineStr">
        <is>
          <t>samrådsanmälan</t>
        </is>
      </c>
      <c r="C271" t="inlineStr">
        <is>
          <t>Askåterföring</t>
        </is>
      </c>
      <c r="D271" s="1" t="n">
        <v>45386</v>
      </c>
      <c r="E271" s="1" t="n">
        <v>46307</v>
      </c>
      <c r="F271" t="inlineStr">
        <is>
          <t>KRONOBERGS LÄN</t>
        </is>
      </c>
      <c r="G271" t="inlineStr">
        <is>
          <t>LESSEBO</t>
        </is>
      </c>
      <c r="I271" t="n">
        <v>14.5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S 4655-2022</t>
        </is>
      </c>
      <c r="B272" t="inlineStr">
        <is>
          <t>samrådsanmälan</t>
        </is>
      </c>
      <c r="C272" t="inlineStr">
        <is>
          <t>Askåterföring</t>
        </is>
      </c>
      <c r="D272" s="1" t="n">
        <v>44795</v>
      </c>
      <c r="E272" s="1" t="n">
        <v>46307</v>
      </c>
      <c r="F272" t="inlineStr">
        <is>
          <t>KRONOBERGS LÄN</t>
        </is>
      </c>
      <c r="G272" t="inlineStr">
        <is>
          <t>LESSEBO</t>
        </is>
      </c>
      <c r="I272" t="n">
        <v>19.1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S 312-2025</t>
        </is>
      </c>
      <c r="B273" t="inlineStr">
        <is>
          <t>samrådsanmälan</t>
        </is>
      </c>
      <c r="C273" t="inlineStr">
        <is>
          <t>Askåterföring</t>
        </is>
      </c>
      <c r="D273" s="1" t="n">
        <v>45688</v>
      </c>
      <c r="E273" s="1" t="n">
        <v>46307</v>
      </c>
      <c r="F273" t="inlineStr">
        <is>
          <t>KRONOBERGS LÄN</t>
        </is>
      </c>
      <c r="G273" t="inlineStr">
        <is>
          <t>LESSEBO</t>
        </is>
      </c>
      <c r="I273" t="n">
        <v>25.8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S 1799-2025</t>
        </is>
      </c>
      <c r="B274" t="inlineStr">
        <is>
          <t>samrådsanmälan</t>
        </is>
      </c>
      <c r="C274" t="inlineStr">
        <is>
          <t>Askåterföring</t>
        </is>
      </c>
      <c r="D274" s="1" t="n">
        <v>45817</v>
      </c>
      <c r="E274" s="1" t="n">
        <v>46307</v>
      </c>
      <c r="F274" t="inlineStr">
        <is>
          <t>KRONOBERGS LÄN</t>
        </is>
      </c>
      <c r="G274" t="inlineStr">
        <is>
          <t>LESSEBO</t>
        </is>
      </c>
      <c r="I274" t="n">
        <v>21.2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S 1798-2025</t>
        </is>
      </c>
      <c r="B275" t="inlineStr">
        <is>
          <t>samrådsanmälan</t>
        </is>
      </c>
      <c r="C275" t="inlineStr">
        <is>
          <t>Askåterföring</t>
        </is>
      </c>
      <c r="D275" s="1" t="n">
        <v>45817</v>
      </c>
      <c r="E275" s="1" t="n">
        <v>46307</v>
      </c>
      <c r="F275" t="inlineStr">
        <is>
          <t>KRONOBERGS LÄN</t>
        </is>
      </c>
      <c r="G275" t="inlineStr">
        <is>
          <t>LESSEBO</t>
        </is>
      </c>
      <c r="I275" t="n">
        <v>73.40000000000001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S 3564-2025</t>
        </is>
      </c>
      <c r="B276" t="inlineStr">
        <is>
          <t>samrådsanmälan</t>
        </is>
      </c>
      <c r="C276" t="inlineStr">
        <is>
          <t>Askåterföring</t>
        </is>
      </c>
      <c r="D276" s="1" t="n">
        <v>46013</v>
      </c>
      <c r="E276" s="1" t="n">
        <v>46307</v>
      </c>
      <c r="F276" t="inlineStr">
        <is>
          <t>KRONOBERGS LÄN</t>
        </is>
      </c>
      <c r="G276" t="inlineStr">
        <is>
          <t>LESSEBO</t>
        </is>
      </c>
      <c r="I276" t="n">
        <v>55.7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S 3565-2025</t>
        </is>
      </c>
      <c r="B277" t="inlineStr">
        <is>
          <t>samrådsanmälan</t>
        </is>
      </c>
      <c r="C277" t="inlineStr">
        <is>
          <t>Askåterföring</t>
        </is>
      </c>
      <c r="D277" s="1" t="n">
        <v>46013</v>
      </c>
      <c r="E277" s="1" t="n">
        <v>46307</v>
      </c>
      <c r="F277" t="inlineStr">
        <is>
          <t>KRONOBERGS LÄN</t>
        </is>
      </c>
      <c r="G277" t="inlineStr">
        <is>
          <t>LESSEBO</t>
        </is>
      </c>
      <c r="I277" t="n">
        <v>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S 375-2026</t>
        </is>
      </c>
      <c r="B278" t="inlineStr">
        <is>
          <t>samrådsanmälan</t>
        </is>
      </c>
      <c r="C278" t="inlineStr">
        <is>
          <t>Askåterföring</t>
        </is>
      </c>
      <c r="D278" s="1" t="n">
        <v>46065</v>
      </c>
      <c r="E278" s="1" t="n">
        <v>46307</v>
      </c>
      <c r="F278" t="inlineStr">
        <is>
          <t>KRONOBERGS LÄN</t>
        </is>
      </c>
      <c r="G278" t="inlineStr">
        <is>
          <t>LESSEBO</t>
        </is>
      </c>
      <c r="I278" t="n">
        <v>17.6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S 1393-2026</t>
        </is>
      </c>
      <c r="B279" t="inlineStr">
        <is>
          <t>samrådsanmälan</t>
        </is>
      </c>
      <c r="C279" t="inlineStr">
        <is>
          <t>Annan skogsbruksåtgärd</t>
        </is>
      </c>
      <c r="D279" s="1" t="n">
        <v>46154</v>
      </c>
      <c r="E279" s="1" t="n">
        <v>46307</v>
      </c>
      <c r="F279" t="inlineStr">
        <is>
          <t>KRONOBERGS LÄN</t>
        </is>
      </c>
      <c r="G279" t="inlineStr">
        <is>
          <t>LESSEBO</t>
        </is>
      </c>
      <c r="I279" t="n">
        <v>3.4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>
      <c r="A280" t="inlineStr">
        <is>
          <t>S 2627-2026</t>
        </is>
      </c>
      <c r="B280" t="inlineStr">
        <is>
          <t>samrådsanmälan</t>
        </is>
      </c>
      <c r="C280" t="inlineStr">
        <is>
          <t>Askåterföring</t>
        </is>
      </c>
      <c r="D280" s="1" t="n">
        <v>46302</v>
      </c>
      <c r="E280" s="1" t="n">
        <v>46307</v>
      </c>
      <c r="F280" t="inlineStr">
        <is>
          <t>KRONOBERGS LÄN</t>
        </is>
      </c>
      <c r="G280" t="inlineStr">
        <is>
          <t>LESSEBO</t>
        </is>
      </c>
      <c r="I280" t="n">
        <v>29.3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2026-10-12T01:58:56Z</dcterms:created>
  <dcterms:modified xmlns:dcterms="http://purl.org/dc/terms/" xmlns:xsi="http://www.w3.org/2001/XMLSchema-instance" xsi:type="dcterms:W3CDTF">2026-10-12T01:58:56Z</dcterms:modified>
</cp:coreProperties>
</file>